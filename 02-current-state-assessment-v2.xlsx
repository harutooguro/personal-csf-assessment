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harutooguro/Desktop/personal-csf-assessment/"/>
    </mc:Choice>
  </mc:AlternateContent>
  <xr:revisionPtr revIDLastSave="0" documentId="8_{83496087-504B-4847-BDE5-76745378DB26}" xr6:coauthVersionLast="47" xr6:coauthVersionMax="47" xr10:uidLastSave="{00000000-0000-0000-0000-000000000000}"/>
  <bookViews>
    <workbookView xWindow="0" yWindow="660" windowWidth="29400" windowHeight="18460" activeTab="3" xr2:uid="{00000000-000D-0000-FFFF-FFFF00000000}"/>
  </bookViews>
  <sheets>
    <sheet name="Asset Register" sheetId="1" r:id="rId1"/>
    <sheet name="Protect Assessment" sheetId="2" r:id="rId2"/>
    <sheet name="Detect Assessment" sheetId="3" r:id="rId3"/>
    <sheet name="Gap Summary" sheetId="4" r:id="rId4"/>
    <sheet name="Guide" sheetId="5" r:id="rId5"/>
  </sheets>
  <definedNames>
    <definedName name="_xlnm._FilterDatabase" localSheetId="0" hidden="1">'Asset Register'!$A$4:$M$104</definedName>
    <definedName name="_xlnm._FilterDatabase" localSheetId="2" hidden="1">'Detect Assessment'!$A$4:$W$89</definedName>
    <definedName name="_xlnm._FilterDatabase" localSheetId="1" hidden="1">'Protect Assessment'!$A$4:$Z$89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3" l="1"/>
  <c r="N16" i="2"/>
  <c r="G45" i="4" l="1"/>
  <c r="F45" i="4"/>
  <c r="E45" i="4"/>
  <c r="D45" i="4"/>
  <c r="C45" i="4"/>
  <c r="G44" i="4"/>
  <c r="F44" i="4"/>
  <c r="E44" i="4"/>
  <c r="D44" i="4"/>
  <c r="C44" i="4"/>
  <c r="G43" i="4"/>
  <c r="F43" i="4"/>
  <c r="E43" i="4"/>
  <c r="D43" i="4"/>
  <c r="C43" i="4"/>
  <c r="H25" i="4"/>
  <c r="G25" i="4"/>
  <c r="F25" i="4"/>
  <c r="E25" i="4"/>
  <c r="D25" i="4"/>
  <c r="H24" i="4"/>
  <c r="G24" i="4"/>
  <c r="F24" i="4"/>
  <c r="E24" i="4"/>
  <c r="D24" i="4"/>
  <c r="H23" i="4"/>
  <c r="G23" i="4"/>
  <c r="F23" i="4"/>
  <c r="E23" i="4"/>
  <c r="D23" i="4"/>
  <c r="H22" i="4"/>
  <c r="G22" i="4"/>
  <c r="F22" i="4"/>
  <c r="E22" i="4"/>
  <c r="D22" i="4"/>
  <c r="H21" i="4"/>
  <c r="G21" i="4"/>
  <c r="F21" i="4"/>
  <c r="E21" i="4"/>
  <c r="D21" i="4"/>
  <c r="H20" i="4"/>
  <c r="G20" i="4"/>
  <c r="F20" i="4"/>
  <c r="E20" i="4"/>
  <c r="D20" i="4"/>
  <c r="H19" i="4"/>
  <c r="G19" i="4"/>
  <c r="F19" i="4"/>
  <c r="E19" i="4"/>
  <c r="D19" i="4"/>
  <c r="H18" i="4"/>
  <c r="G18" i="4"/>
  <c r="F18" i="4"/>
  <c r="E18" i="4"/>
  <c r="D18" i="4"/>
  <c r="H17" i="4"/>
  <c r="G17" i="4"/>
  <c r="F17" i="4"/>
  <c r="E17" i="4"/>
  <c r="D17" i="4"/>
  <c r="H16" i="4"/>
  <c r="G16" i="4"/>
  <c r="F16" i="4"/>
  <c r="E16" i="4"/>
  <c r="D16" i="4"/>
  <c r="H15" i="4"/>
  <c r="G15" i="4"/>
  <c r="F15" i="4"/>
  <c r="E15" i="4"/>
  <c r="D15" i="4"/>
  <c r="H14" i="4"/>
  <c r="G14" i="4"/>
  <c r="F14" i="4"/>
  <c r="E14" i="4"/>
  <c r="D14" i="4"/>
  <c r="H13" i="4"/>
  <c r="G13" i="4"/>
  <c r="F13" i="4"/>
  <c r="E13" i="4"/>
  <c r="D13" i="4"/>
  <c r="H7" i="4"/>
  <c r="G7" i="4"/>
  <c r="F7" i="4"/>
  <c r="E7" i="4"/>
  <c r="D7" i="4"/>
  <c r="H6" i="4"/>
  <c r="G6" i="4"/>
  <c r="F6" i="4"/>
  <c r="E6" i="4"/>
  <c r="D6" i="4"/>
  <c r="N89" i="3"/>
  <c r="M89" i="3"/>
  <c r="L89" i="3"/>
  <c r="K89" i="3"/>
  <c r="E89" i="3"/>
  <c r="D89" i="3"/>
  <c r="C89" i="3"/>
  <c r="B89" i="3"/>
  <c r="N88" i="3"/>
  <c r="M88" i="3"/>
  <c r="L88" i="3"/>
  <c r="K88" i="3"/>
  <c r="E88" i="3"/>
  <c r="D88" i="3"/>
  <c r="C88" i="3"/>
  <c r="B88" i="3"/>
  <c r="N87" i="3"/>
  <c r="M87" i="3"/>
  <c r="L87" i="3"/>
  <c r="K87" i="3"/>
  <c r="E87" i="3"/>
  <c r="D87" i="3"/>
  <c r="C87" i="3"/>
  <c r="B87" i="3"/>
  <c r="N86" i="3"/>
  <c r="M86" i="3"/>
  <c r="L86" i="3"/>
  <c r="K86" i="3"/>
  <c r="E86" i="3"/>
  <c r="D86" i="3"/>
  <c r="C86" i="3"/>
  <c r="B86" i="3"/>
  <c r="N85" i="3"/>
  <c r="M85" i="3"/>
  <c r="L85" i="3"/>
  <c r="K85" i="3"/>
  <c r="E85" i="3"/>
  <c r="D85" i="3"/>
  <c r="C85" i="3"/>
  <c r="B85" i="3"/>
  <c r="N84" i="3"/>
  <c r="M84" i="3"/>
  <c r="L84" i="3"/>
  <c r="K84" i="3"/>
  <c r="E84" i="3"/>
  <c r="D84" i="3"/>
  <c r="C84" i="3"/>
  <c r="B84" i="3"/>
  <c r="N83" i="3"/>
  <c r="M83" i="3"/>
  <c r="L83" i="3"/>
  <c r="K83" i="3"/>
  <c r="E83" i="3"/>
  <c r="D83" i="3"/>
  <c r="C83" i="3"/>
  <c r="B83" i="3"/>
  <c r="N82" i="3"/>
  <c r="M82" i="3"/>
  <c r="L82" i="3"/>
  <c r="K82" i="3"/>
  <c r="E82" i="3"/>
  <c r="D82" i="3"/>
  <c r="C82" i="3"/>
  <c r="B82" i="3"/>
  <c r="N81" i="3"/>
  <c r="M81" i="3"/>
  <c r="L81" i="3"/>
  <c r="K81" i="3"/>
  <c r="E81" i="3"/>
  <c r="D81" i="3"/>
  <c r="C81" i="3"/>
  <c r="B81" i="3"/>
  <c r="N80" i="3"/>
  <c r="M80" i="3"/>
  <c r="L80" i="3"/>
  <c r="K80" i="3"/>
  <c r="E80" i="3"/>
  <c r="D80" i="3"/>
  <c r="C80" i="3"/>
  <c r="B80" i="3"/>
  <c r="N79" i="3"/>
  <c r="M79" i="3"/>
  <c r="L79" i="3"/>
  <c r="K79" i="3"/>
  <c r="E79" i="3"/>
  <c r="D79" i="3"/>
  <c r="C79" i="3"/>
  <c r="B79" i="3"/>
  <c r="N78" i="3"/>
  <c r="M78" i="3"/>
  <c r="L78" i="3"/>
  <c r="K78" i="3"/>
  <c r="E78" i="3"/>
  <c r="D78" i="3"/>
  <c r="C78" i="3"/>
  <c r="B78" i="3"/>
  <c r="N77" i="3"/>
  <c r="M77" i="3"/>
  <c r="L77" i="3"/>
  <c r="K77" i="3"/>
  <c r="E77" i="3"/>
  <c r="D77" i="3"/>
  <c r="C77" i="3"/>
  <c r="B77" i="3"/>
  <c r="N76" i="3"/>
  <c r="M76" i="3"/>
  <c r="L76" i="3"/>
  <c r="K76" i="3"/>
  <c r="E76" i="3"/>
  <c r="D76" i="3"/>
  <c r="C76" i="3"/>
  <c r="B76" i="3"/>
  <c r="N75" i="3"/>
  <c r="M75" i="3"/>
  <c r="L75" i="3"/>
  <c r="K75" i="3"/>
  <c r="E75" i="3"/>
  <c r="D75" i="3"/>
  <c r="C75" i="3"/>
  <c r="B75" i="3"/>
  <c r="N74" i="3"/>
  <c r="M74" i="3"/>
  <c r="L74" i="3"/>
  <c r="K74" i="3"/>
  <c r="E74" i="3"/>
  <c r="D74" i="3"/>
  <c r="C74" i="3"/>
  <c r="B74" i="3"/>
  <c r="N73" i="3"/>
  <c r="M73" i="3"/>
  <c r="L73" i="3"/>
  <c r="K73" i="3"/>
  <c r="E73" i="3"/>
  <c r="D73" i="3"/>
  <c r="C73" i="3"/>
  <c r="B73" i="3"/>
  <c r="N72" i="3"/>
  <c r="M72" i="3"/>
  <c r="L72" i="3"/>
  <c r="K72" i="3"/>
  <c r="E72" i="3"/>
  <c r="D72" i="3"/>
  <c r="C72" i="3"/>
  <c r="B72" i="3"/>
  <c r="N71" i="3"/>
  <c r="M71" i="3"/>
  <c r="L71" i="3"/>
  <c r="K71" i="3"/>
  <c r="E71" i="3"/>
  <c r="D71" i="3"/>
  <c r="C71" i="3"/>
  <c r="B71" i="3"/>
  <c r="N70" i="3"/>
  <c r="M70" i="3"/>
  <c r="L70" i="3"/>
  <c r="K70" i="3"/>
  <c r="E70" i="3"/>
  <c r="D70" i="3"/>
  <c r="C70" i="3"/>
  <c r="B70" i="3"/>
  <c r="N69" i="3"/>
  <c r="M69" i="3"/>
  <c r="L69" i="3"/>
  <c r="K69" i="3"/>
  <c r="E69" i="3"/>
  <c r="D69" i="3"/>
  <c r="C69" i="3"/>
  <c r="B69" i="3"/>
  <c r="N68" i="3"/>
  <c r="M68" i="3"/>
  <c r="L68" i="3"/>
  <c r="K68" i="3"/>
  <c r="E68" i="3"/>
  <c r="D68" i="3"/>
  <c r="C68" i="3"/>
  <c r="B68" i="3"/>
  <c r="N67" i="3"/>
  <c r="M67" i="3"/>
  <c r="L67" i="3"/>
  <c r="K67" i="3"/>
  <c r="E67" i="3"/>
  <c r="D67" i="3"/>
  <c r="C67" i="3"/>
  <c r="B67" i="3"/>
  <c r="N66" i="3"/>
  <c r="M66" i="3"/>
  <c r="L66" i="3"/>
  <c r="K66" i="3"/>
  <c r="E66" i="3"/>
  <c r="D66" i="3"/>
  <c r="C66" i="3"/>
  <c r="B66" i="3"/>
  <c r="N65" i="3"/>
  <c r="M65" i="3"/>
  <c r="L65" i="3"/>
  <c r="K65" i="3"/>
  <c r="E65" i="3"/>
  <c r="D65" i="3"/>
  <c r="C65" i="3"/>
  <c r="B65" i="3"/>
  <c r="N64" i="3"/>
  <c r="M64" i="3"/>
  <c r="L64" i="3"/>
  <c r="K64" i="3"/>
  <c r="E64" i="3"/>
  <c r="D64" i="3"/>
  <c r="C64" i="3"/>
  <c r="B64" i="3"/>
  <c r="N63" i="3"/>
  <c r="M63" i="3"/>
  <c r="L63" i="3"/>
  <c r="K63" i="3"/>
  <c r="E63" i="3"/>
  <c r="D63" i="3"/>
  <c r="C63" i="3"/>
  <c r="B63" i="3"/>
  <c r="N62" i="3"/>
  <c r="M62" i="3"/>
  <c r="L62" i="3"/>
  <c r="K62" i="3"/>
  <c r="E62" i="3"/>
  <c r="D62" i="3"/>
  <c r="C62" i="3"/>
  <c r="B62" i="3"/>
  <c r="N61" i="3"/>
  <c r="M61" i="3"/>
  <c r="L61" i="3"/>
  <c r="K61" i="3"/>
  <c r="E61" i="3"/>
  <c r="D61" i="3"/>
  <c r="C61" i="3"/>
  <c r="B61" i="3"/>
  <c r="N60" i="3"/>
  <c r="M60" i="3"/>
  <c r="L60" i="3"/>
  <c r="K60" i="3"/>
  <c r="E60" i="3"/>
  <c r="D60" i="3"/>
  <c r="C60" i="3"/>
  <c r="B60" i="3"/>
  <c r="N59" i="3"/>
  <c r="M59" i="3"/>
  <c r="L59" i="3"/>
  <c r="K59" i="3"/>
  <c r="E59" i="3"/>
  <c r="D59" i="3"/>
  <c r="C59" i="3"/>
  <c r="B59" i="3"/>
  <c r="N58" i="3"/>
  <c r="M58" i="3"/>
  <c r="L58" i="3"/>
  <c r="K58" i="3"/>
  <c r="E58" i="3"/>
  <c r="D58" i="3"/>
  <c r="C58" i="3"/>
  <c r="B58" i="3"/>
  <c r="N57" i="3"/>
  <c r="M57" i="3"/>
  <c r="L57" i="3"/>
  <c r="K57" i="3"/>
  <c r="E57" i="3"/>
  <c r="D57" i="3"/>
  <c r="C57" i="3"/>
  <c r="B57" i="3"/>
  <c r="N56" i="3"/>
  <c r="M56" i="3"/>
  <c r="L56" i="3"/>
  <c r="K56" i="3"/>
  <c r="E56" i="3"/>
  <c r="D56" i="3"/>
  <c r="C56" i="3"/>
  <c r="B56" i="3"/>
  <c r="N55" i="3"/>
  <c r="M55" i="3"/>
  <c r="L55" i="3"/>
  <c r="K55" i="3"/>
  <c r="E55" i="3"/>
  <c r="D55" i="3"/>
  <c r="C55" i="3"/>
  <c r="B55" i="3"/>
  <c r="N54" i="3"/>
  <c r="M54" i="3"/>
  <c r="L54" i="3"/>
  <c r="K54" i="3"/>
  <c r="E54" i="3"/>
  <c r="D54" i="3"/>
  <c r="C54" i="3"/>
  <c r="B54" i="3"/>
  <c r="N53" i="3"/>
  <c r="M53" i="3"/>
  <c r="L53" i="3"/>
  <c r="K53" i="3"/>
  <c r="E53" i="3"/>
  <c r="D53" i="3"/>
  <c r="C53" i="3"/>
  <c r="B53" i="3"/>
  <c r="N52" i="3"/>
  <c r="M52" i="3"/>
  <c r="L52" i="3"/>
  <c r="K52" i="3"/>
  <c r="E52" i="3"/>
  <c r="D52" i="3"/>
  <c r="C52" i="3"/>
  <c r="B52" i="3"/>
  <c r="N51" i="3"/>
  <c r="M51" i="3"/>
  <c r="L51" i="3"/>
  <c r="K51" i="3"/>
  <c r="E51" i="3"/>
  <c r="D51" i="3"/>
  <c r="C51" i="3"/>
  <c r="B51" i="3"/>
  <c r="N50" i="3"/>
  <c r="M50" i="3"/>
  <c r="L50" i="3"/>
  <c r="K50" i="3"/>
  <c r="E50" i="3"/>
  <c r="D50" i="3"/>
  <c r="C50" i="3"/>
  <c r="B50" i="3"/>
  <c r="N49" i="3"/>
  <c r="M49" i="3"/>
  <c r="L49" i="3"/>
  <c r="K49" i="3"/>
  <c r="E49" i="3"/>
  <c r="D49" i="3"/>
  <c r="C49" i="3"/>
  <c r="B49" i="3"/>
  <c r="N48" i="3"/>
  <c r="M48" i="3"/>
  <c r="L48" i="3"/>
  <c r="K48" i="3"/>
  <c r="E48" i="3"/>
  <c r="D48" i="3"/>
  <c r="C48" i="3"/>
  <c r="B48" i="3"/>
  <c r="N47" i="3"/>
  <c r="M47" i="3"/>
  <c r="L47" i="3"/>
  <c r="K47" i="3"/>
  <c r="E47" i="3"/>
  <c r="D47" i="3"/>
  <c r="C47" i="3"/>
  <c r="B47" i="3"/>
  <c r="N46" i="3"/>
  <c r="M46" i="3"/>
  <c r="L46" i="3"/>
  <c r="K46" i="3"/>
  <c r="E46" i="3"/>
  <c r="D46" i="3"/>
  <c r="C46" i="3"/>
  <c r="B46" i="3"/>
  <c r="N45" i="3"/>
  <c r="M45" i="3"/>
  <c r="L45" i="3"/>
  <c r="K45" i="3"/>
  <c r="E45" i="3"/>
  <c r="D45" i="3"/>
  <c r="C45" i="3"/>
  <c r="B45" i="3"/>
  <c r="N44" i="3"/>
  <c r="M44" i="3"/>
  <c r="L44" i="3"/>
  <c r="K44" i="3"/>
  <c r="E44" i="3"/>
  <c r="D44" i="3"/>
  <c r="C44" i="3"/>
  <c r="B44" i="3"/>
  <c r="N43" i="3"/>
  <c r="M43" i="3"/>
  <c r="L43" i="3"/>
  <c r="K43" i="3"/>
  <c r="E43" i="3"/>
  <c r="D43" i="3"/>
  <c r="C43" i="3"/>
  <c r="B43" i="3"/>
  <c r="N42" i="3"/>
  <c r="M42" i="3"/>
  <c r="L42" i="3"/>
  <c r="K42" i="3"/>
  <c r="E42" i="3"/>
  <c r="D42" i="3"/>
  <c r="C42" i="3"/>
  <c r="B42" i="3"/>
  <c r="N41" i="3"/>
  <c r="M41" i="3"/>
  <c r="L41" i="3"/>
  <c r="K41" i="3"/>
  <c r="E41" i="3"/>
  <c r="D41" i="3"/>
  <c r="C41" i="3"/>
  <c r="B41" i="3"/>
  <c r="N40" i="3"/>
  <c r="M40" i="3"/>
  <c r="L40" i="3"/>
  <c r="K40" i="3"/>
  <c r="E40" i="3"/>
  <c r="D40" i="3"/>
  <c r="C40" i="3"/>
  <c r="B40" i="3"/>
  <c r="N39" i="3"/>
  <c r="M39" i="3"/>
  <c r="L39" i="3"/>
  <c r="K39" i="3"/>
  <c r="E39" i="3"/>
  <c r="D39" i="3"/>
  <c r="C39" i="3"/>
  <c r="B39" i="3"/>
  <c r="N38" i="3"/>
  <c r="M38" i="3"/>
  <c r="L38" i="3"/>
  <c r="K38" i="3"/>
  <c r="E38" i="3"/>
  <c r="D38" i="3"/>
  <c r="C38" i="3"/>
  <c r="B38" i="3"/>
  <c r="N37" i="3"/>
  <c r="M37" i="3"/>
  <c r="L37" i="3"/>
  <c r="K37" i="3"/>
  <c r="E37" i="3"/>
  <c r="D37" i="3"/>
  <c r="C37" i="3"/>
  <c r="B37" i="3"/>
  <c r="N36" i="3"/>
  <c r="M36" i="3"/>
  <c r="L36" i="3"/>
  <c r="K36" i="3"/>
  <c r="E36" i="3"/>
  <c r="D36" i="3"/>
  <c r="C36" i="3"/>
  <c r="B36" i="3"/>
  <c r="N35" i="3"/>
  <c r="M35" i="3"/>
  <c r="L35" i="3"/>
  <c r="K35" i="3"/>
  <c r="E35" i="3"/>
  <c r="D35" i="3"/>
  <c r="C35" i="3"/>
  <c r="B35" i="3"/>
  <c r="N34" i="3"/>
  <c r="M34" i="3"/>
  <c r="L34" i="3"/>
  <c r="K34" i="3"/>
  <c r="E34" i="3"/>
  <c r="D34" i="3"/>
  <c r="C34" i="3"/>
  <c r="B34" i="3"/>
  <c r="N33" i="3"/>
  <c r="M33" i="3"/>
  <c r="L33" i="3"/>
  <c r="K33" i="3"/>
  <c r="E33" i="3"/>
  <c r="D33" i="3"/>
  <c r="C33" i="3"/>
  <c r="B33" i="3"/>
  <c r="N32" i="3"/>
  <c r="M32" i="3"/>
  <c r="L32" i="3"/>
  <c r="K32" i="3"/>
  <c r="E32" i="3"/>
  <c r="D32" i="3"/>
  <c r="B32" i="3"/>
  <c r="N31" i="3"/>
  <c r="M31" i="3"/>
  <c r="L31" i="3"/>
  <c r="K31" i="3"/>
  <c r="E31" i="3"/>
  <c r="D31" i="3"/>
  <c r="C31" i="3"/>
  <c r="B31" i="3"/>
  <c r="N30" i="3"/>
  <c r="M30" i="3"/>
  <c r="L30" i="3"/>
  <c r="K30" i="3"/>
  <c r="E30" i="3"/>
  <c r="D30" i="3"/>
  <c r="C30" i="3"/>
  <c r="B30" i="3"/>
  <c r="N29" i="3"/>
  <c r="M29" i="3"/>
  <c r="L29" i="3"/>
  <c r="K29" i="3"/>
  <c r="E29" i="3"/>
  <c r="D29" i="3"/>
  <c r="C29" i="3"/>
  <c r="B29" i="3"/>
  <c r="N28" i="3"/>
  <c r="M28" i="3"/>
  <c r="L28" i="3"/>
  <c r="K28" i="3"/>
  <c r="E28" i="3"/>
  <c r="D28" i="3"/>
  <c r="C28" i="3"/>
  <c r="B28" i="3"/>
  <c r="N27" i="3"/>
  <c r="M27" i="3"/>
  <c r="L27" i="3"/>
  <c r="K27" i="3"/>
  <c r="E27" i="3"/>
  <c r="D27" i="3"/>
  <c r="C27" i="3"/>
  <c r="B27" i="3"/>
  <c r="N26" i="3"/>
  <c r="M26" i="3"/>
  <c r="L26" i="3"/>
  <c r="K26" i="3"/>
  <c r="E26" i="3"/>
  <c r="D26" i="3"/>
  <c r="C26" i="3"/>
  <c r="B26" i="3"/>
  <c r="N25" i="3"/>
  <c r="M25" i="3"/>
  <c r="L25" i="3"/>
  <c r="K25" i="3"/>
  <c r="E25" i="3"/>
  <c r="D25" i="3"/>
  <c r="C25" i="3"/>
  <c r="B25" i="3"/>
  <c r="N24" i="3"/>
  <c r="M24" i="3"/>
  <c r="L24" i="3"/>
  <c r="K24" i="3"/>
  <c r="E24" i="3"/>
  <c r="D24" i="3"/>
  <c r="C24" i="3"/>
  <c r="B24" i="3"/>
  <c r="N23" i="3"/>
  <c r="M23" i="3"/>
  <c r="L23" i="3"/>
  <c r="K23" i="3"/>
  <c r="E23" i="3"/>
  <c r="D23" i="3"/>
  <c r="C23" i="3"/>
  <c r="B23" i="3"/>
  <c r="N22" i="3"/>
  <c r="M22" i="3"/>
  <c r="L22" i="3"/>
  <c r="K22" i="3"/>
  <c r="E22" i="3"/>
  <c r="D22" i="3"/>
  <c r="C22" i="3"/>
  <c r="B22" i="3"/>
  <c r="N21" i="3"/>
  <c r="M21" i="3"/>
  <c r="L21" i="3"/>
  <c r="K21" i="3"/>
  <c r="E21" i="3"/>
  <c r="D21" i="3"/>
  <c r="C21" i="3"/>
  <c r="B21" i="3"/>
  <c r="N20" i="3"/>
  <c r="M20" i="3"/>
  <c r="L20" i="3"/>
  <c r="K20" i="3"/>
  <c r="E20" i="3"/>
  <c r="D20" i="3"/>
  <c r="C20" i="3"/>
  <c r="B20" i="3"/>
  <c r="N19" i="3"/>
  <c r="M19" i="3"/>
  <c r="L19" i="3"/>
  <c r="K19" i="3"/>
  <c r="E19" i="3"/>
  <c r="D19" i="3"/>
  <c r="C19" i="3"/>
  <c r="B19" i="3"/>
  <c r="N18" i="3"/>
  <c r="M18" i="3"/>
  <c r="L18" i="3"/>
  <c r="K18" i="3"/>
  <c r="E18" i="3"/>
  <c r="D18" i="3"/>
  <c r="C18" i="3"/>
  <c r="B18" i="3"/>
  <c r="N17" i="3"/>
  <c r="M17" i="3"/>
  <c r="L17" i="3"/>
  <c r="K17" i="3"/>
  <c r="E17" i="3"/>
  <c r="D17" i="3"/>
  <c r="C17" i="3"/>
  <c r="B17" i="3"/>
  <c r="N16" i="3"/>
  <c r="M16" i="3"/>
  <c r="L16" i="3"/>
  <c r="K16" i="3"/>
  <c r="E16" i="3"/>
  <c r="D16" i="3"/>
  <c r="C16" i="3"/>
  <c r="B16" i="3"/>
  <c r="N15" i="3"/>
  <c r="M15" i="3"/>
  <c r="L15" i="3"/>
  <c r="K15" i="3"/>
  <c r="E15" i="3"/>
  <c r="D15" i="3"/>
  <c r="C15" i="3"/>
  <c r="B15" i="3"/>
  <c r="N14" i="3"/>
  <c r="M14" i="3"/>
  <c r="L14" i="3"/>
  <c r="K14" i="3"/>
  <c r="E14" i="3"/>
  <c r="D14" i="3"/>
  <c r="C14" i="3"/>
  <c r="B14" i="3"/>
  <c r="N13" i="3"/>
  <c r="M13" i="3"/>
  <c r="L13" i="3"/>
  <c r="K13" i="3"/>
  <c r="E13" i="3"/>
  <c r="D13" i="3"/>
  <c r="C13" i="3"/>
  <c r="B13" i="3"/>
  <c r="N12" i="3"/>
  <c r="M12" i="3"/>
  <c r="L12" i="3"/>
  <c r="K12" i="3"/>
  <c r="E12" i="3"/>
  <c r="D12" i="3"/>
  <c r="C12" i="3"/>
  <c r="B12" i="3"/>
  <c r="N11" i="3"/>
  <c r="M11" i="3"/>
  <c r="L11" i="3"/>
  <c r="K11" i="3"/>
  <c r="E11" i="3"/>
  <c r="D11" i="3"/>
  <c r="C11" i="3"/>
  <c r="B11" i="3"/>
  <c r="N10" i="3"/>
  <c r="M10" i="3"/>
  <c r="L10" i="3"/>
  <c r="K10" i="3"/>
  <c r="E10" i="3"/>
  <c r="D10" i="3"/>
  <c r="C10" i="3"/>
  <c r="B10" i="3"/>
  <c r="N9" i="3"/>
  <c r="M9" i="3"/>
  <c r="L9" i="3"/>
  <c r="K9" i="3"/>
  <c r="E9" i="3"/>
  <c r="D9" i="3"/>
  <c r="C9" i="3"/>
  <c r="B9" i="3"/>
  <c r="N8" i="3"/>
  <c r="M8" i="3"/>
  <c r="L8" i="3"/>
  <c r="K8" i="3"/>
  <c r="E8" i="3"/>
  <c r="D8" i="3"/>
  <c r="C8" i="3"/>
  <c r="B8" i="3"/>
  <c r="N7" i="3"/>
  <c r="M7" i="3"/>
  <c r="L7" i="3"/>
  <c r="K7" i="3"/>
  <c r="E7" i="3"/>
  <c r="D7" i="3"/>
  <c r="C7" i="3"/>
  <c r="B7" i="3"/>
  <c r="N6" i="3"/>
  <c r="M6" i="3"/>
  <c r="L6" i="3"/>
  <c r="K6" i="3"/>
  <c r="E6" i="3"/>
  <c r="D6" i="3"/>
  <c r="C6" i="3"/>
  <c r="B6" i="3"/>
  <c r="N5" i="3"/>
  <c r="M5" i="3"/>
  <c r="L5" i="3"/>
  <c r="K5" i="3"/>
  <c r="E5" i="3"/>
  <c r="D5" i="3"/>
  <c r="C5" i="3"/>
  <c r="B5" i="3"/>
  <c r="Q89" i="2"/>
  <c r="P89" i="2"/>
  <c r="O89" i="2"/>
  <c r="N89" i="2"/>
  <c r="E89" i="2"/>
  <c r="D89" i="2"/>
  <c r="C89" i="2"/>
  <c r="B89" i="2"/>
  <c r="Q88" i="2"/>
  <c r="P88" i="2"/>
  <c r="O88" i="2"/>
  <c r="N88" i="2"/>
  <c r="E88" i="2"/>
  <c r="D88" i="2"/>
  <c r="C88" i="2"/>
  <c r="B88" i="2"/>
  <c r="Q87" i="2"/>
  <c r="P87" i="2"/>
  <c r="O87" i="2"/>
  <c r="N87" i="2"/>
  <c r="E87" i="2"/>
  <c r="D87" i="2"/>
  <c r="C87" i="2"/>
  <c r="B87" i="2"/>
  <c r="Q86" i="2"/>
  <c r="P86" i="2"/>
  <c r="O86" i="2"/>
  <c r="N86" i="2"/>
  <c r="E86" i="2"/>
  <c r="D86" i="2"/>
  <c r="C86" i="2"/>
  <c r="B86" i="2"/>
  <c r="Q85" i="2"/>
  <c r="P85" i="2"/>
  <c r="O85" i="2"/>
  <c r="N85" i="2"/>
  <c r="E85" i="2"/>
  <c r="D85" i="2"/>
  <c r="C85" i="2"/>
  <c r="B85" i="2"/>
  <c r="Q84" i="2"/>
  <c r="P84" i="2"/>
  <c r="O84" i="2"/>
  <c r="N84" i="2"/>
  <c r="E84" i="2"/>
  <c r="D84" i="2"/>
  <c r="C84" i="2"/>
  <c r="B84" i="2"/>
  <c r="Q83" i="2"/>
  <c r="P83" i="2"/>
  <c r="O83" i="2"/>
  <c r="N83" i="2"/>
  <c r="E83" i="2"/>
  <c r="D83" i="2"/>
  <c r="C83" i="2"/>
  <c r="B83" i="2"/>
  <c r="Q82" i="2"/>
  <c r="P82" i="2"/>
  <c r="O82" i="2"/>
  <c r="N82" i="2"/>
  <c r="E82" i="2"/>
  <c r="D82" i="2"/>
  <c r="C82" i="2"/>
  <c r="B82" i="2"/>
  <c r="Q81" i="2"/>
  <c r="P81" i="2"/>
  <c r="O81" i="2"/>
  <c r="N81" i="2"/>
  <c r="E81" i="2"/>
  <c r="D81" i="2"/>
  <c r="C81" i="2"/>
  <c r="B81" i="2"/>
  <c r="Q80" i="2"/>
  <c r="P80" i="2"/>
  <c r="O80" i="2"/>
  <c r="N80" i="2"/>
  <c r="E80" i="2"/>
  <c r="D80" i="2"/>
  <c r="C80" i="2"/>
  <c r="B80" i="2"/>
  <c r="Q79" i="2"/>
  <c r="P79" i="2"/>
  <c r="O79" i="2"/>
  <c r="N79" i="2"/>
  <c r="E79" i="2"/>
  <c r="D79" i="2"/>
  <c r="C79" i="2"/>
  <c r="B79" i="2"/>
  <c r="Q78" i="2"/>
  <c r="P78" i="2"/>
  <c r="O78" i="2"/>
  <c r="N78" i="2"/>
  <c r="E78" i="2"/>
  <c r="D78" i="2"/>
  <c r="C78" i="2"/>
  <c r="B78" i="2"/>
  <c r="Q77" i="2"/>
  <c r="P77" i="2"/>
  <c r="O77" i="2"/>
  <c r="N77" i="2"/>
  <c r="E77" i="2"/>
  <c r="D77" i="2"/>
  <c r="C77" i="2"/>
  <c r="B77" i="2"/>
  <c r="Q76" i="2"/>
  <c r="P76" i="2"/>
  <c r="O76" i="2"/>
  <c r="N76" i="2"/>
  <c r="E76" i="2"/>
  <c r="D76" i="2"/>
  <c r="C76" i="2"/>
  <c r="B76" i="2"/>
  <c r="Q75" i="2"/>
  <c r="P75" i="2"/>
  <c r="O75" i="2"/>
  <c r="N75" i="2"/>
  <c r="E75" i="2"/>
  <c r="D75" i="2"/>
  <c r="C75" i="2"/>
  <c r="B75" i="2"/>
  <c r="Q74" i="2"/>
  <c r="P74" i="2"/>
  <c r="O74" i="2"/>
  <c r="N74" i="2"/>
  <c r="E74" i="2"/>
  <c r="D74" i="2"/>
  <c r="C74" i="2"/>
  <c r="B74" i="2"/>
  <c r="Q73" i="2"/>
  <c r="P73" i="2"/>
  <c r="O73" i="2"/>
  <c r="N73" i="2"/>
  <c r="E73" i="2"/>
  <c r="D73" i="2"/>
  <c r="C73" i="2"/>
  <c r="B73" i="2"/>
  <c r="Q72" i="2"/>
  <c r="P72" i="2"/>
  <c r="O72" i="2"/>
  <c r="N72" i="2"/>
  <c r="E72" i="2"/>
  <c r="D72" i="2"/>
  <c r="C72" i="2"/>
  <c r="B72" i="2"/>
  <c r="Q71" i="2"/>
  <c r="P71" i="2"/>
  <c r="O71" i="2"/>
  <c r="N71" i="2"/>
  <c r="E71" i="2"/>
  <c r="D71" i="2"/>
  <c r="C71" i="2"/>
  <c r="B71" i="2"/>
  <c r="Q70" i="2"/>
  <c r="P70" i="2"/>
  <c r="O70" i="2"/>
  <c r="N70" i="2"/>
  <c r="E70" i="2"/>
  <c r="D70" i="2"/>
  <c r="C70" i="2"/>
  <c r="B70" i="2"/>
  <c r="Q69" i="2"/>
  <c r="P69" i="2"/>
  <c r="O69" i="2"/>
  <c r="N69" i="2"/>
  <c r="E69" i="2"/>
  <c r="D69" i="2"/>
  <c r="C69" i="2"/>
  <c r="B69" i="2"/>
  <c r="Q68" i="2"/>
  <c r="P68" i="2"/>
  <c r="O68" i="2"/>
  <c r="N68" i="2"/>
  <c r="E68" i="2"/>
  <c r="D68" i="2"/>
  <c r="C68" i="2"/>
  <c r="B68" i="2"/>
  <c r="Q67" i="2"/>
  <c r="P67" i="2"/>
  <c r="O67" i="2"/>
  <c r="N67" i="2"/>
  <c r="E67" i="2"/>
  <c r="D67" i="2"/>
  <c r="C67" i="2"/>
  <c r="B67" i="2"/>
  <c r="Q66" i="2"/>
  <c r="P66" i="2"/>
  <c r="O66" i="2"/>
  <c r="N66" i="2"/>
  <c r="E66" i="2"/>
  <c r="D66" i="2"/>
  <c r="C66" i="2"/>
  <c r="B66" i="2"/>
  <c r="Q65" i="2"/>
  <c r="P65" i="2"/>
  <c r="O65" i="2"/>
  <c r="N65" i="2"/>
  <c r="E65" i="2"/>
  <c r="D65" i="2"/>
  <c r="C65" i="2"/>
  <c r="B65" i="2"/>
  <c r="Q64" i="2"/>
  <c r="P64" i="2"/>
  <c r="O64" i="2"/>
  <c r="N64" i="2"/>
  <c r="E64" i="2"/>
  <c r="D64" i="2"/>
  <c r="C64" i="2"/>
  <c r="B64" i="2"/>
  <c r="Q63" i="2"/>
  <c r="P63" i="2"/>
  <c r="O63" i="2"/>
  <c r="N63" i="2"/>
  <c r="E63" i="2"/>
  <c r="D63" i="2"/>
  <c r="C63" i="2"/>
  <c r="B63" i="2"/>
  <c r="Q62" i="2"/>
  <c r="P62" i="2"/>
  <c r="O62" i="2"/>
  <c r="N62" i="2"/>
  <c r="E62" i="2"/>
  <c r="D62" i="2"/>
  <c r="C62" i="2"/>
  <c r="B62" i="2"/>
  <c r="Q61" i="2"/>
  <c r="P61" i="2"/>
  <c r="O61" i="2"/>
  <c r="N61" i="2"/>
  <c r="E61" i="2"/>
  <c r="D61" i="2"/>
  <c r="C61" i="2"/>
  <c r="B61" i="2"/>
  <c r="Q60" i="2"/>
  <c r="P60" i="2"/>
  <c r="O60" i="2"/>
  <c r="N60" i="2"/>
  <c r="E60" i="2"/>
  <c r="D60" i="2"/>
  <c r="C60" i="2"/>
  <c r="B60" i="2"/>
  <c r="Q59" i="2"/>
  <c r="P59" i="2"/>
  <c r="O59" i="2"/>
  <c r="N59" i="2"/>
  <c r="E59" i="2"/>
  <c r="D59" i="2"/>
  <c r="C59" i="2"/>
  <c r="B59" i="2"/>
  <c r="Q58" i="2"/>
  <c r="P58" i="2"/>
  <c r="O58" i="2"/>
  <c r="N58" i="2"/>
  <c r="E58" i="2"/>
  <c r="D58" i="2"/>
  <c r="C58" i="2"/>
  <c r="B58" i="2"/>
  <c r="Q57" i="2"/>
  <c r="P57" i="2"/>
  <c r="O57" i="2"/>
  <c r="N57" i="2"/>
  <c r="E57" i="2"/>
  <c r="D57" i="2"/>
  <c r="C57" i="2"/>
  <c r="B57" i="2"/>
  <c r="Q56" i="2"/>
  <c r="P56" i="2"/>
  <c r="O56" i="2"/>
  <c r="N56" i="2"/>
  <c r="E56" i="2"/>
  <c r="D56" i="2"/>
  <c r="C56" i="2"/>
  <c r="B56" i="2"/>
  <c r="Q55" i="2"/>
  <c r="P55" i="2"/>
  <c r="O55" i="2"/>
  <c r="N55" i="2"/>
  <c r="E55" i="2"/>
  <c r="D55" i="2"/>
  <c r="C55" i="2"/>
  <c r="B55" i="2"/>
  <c r="Q54" i="2"/>
  <c r="P54" i="2"/>
  <c r="O54" i="2"/>
  <c r="N54" i="2"/>
  <c r="E54" i="2"/>
  <c r="D54" i="2"/>
  <c r="C54" i="2"/>
  <c r="B54" i="2"/>
  <c r="Q53" i="2"/>
  <c r="P53" i="2"/>
  <c r="O53" i="2"/>
  <c r="N53" i="2"/>
  <c r="E53" i="2"/>
  <c r="D53" i="2"/>
  <c r="C53" i="2"/>
  <c r="B53" i="2"/>
  <c r="Q52" i="2"/>
  <c r="P52" i="2"/>
  <c r="O52" i="2"/>
  <c r="N52" i="2"/>
  <c r="E52" i="2"/>
  <c r="D52" i="2"/>
  <c r="C52" i="2"/>
  <c r="B52" i="2"/>
  <c r="Q51" i="2"/>
  <c r="P51" i="2"/>
  <c r="O51" i="2"/>
  <c r="N51" i="2"/>
  <c r="E51" i="2"/>
  <c r="D51" i="2"/>
  <c r="C51" i="2"/>
  <c r="B51" i="2"/>
  <c r="Q50" i="2"/>
  <c r="P50" i="2"/>
  <c r="O50" i="2"/>
  <c r="N50" i="2"/>
  <c r="E50" i="2"/>
  <c r="D50" i="2"/>
  <c r="C50" i="2"/>
  <c r="B50" i="2"/>
  <c r="Q49" i="2"/>
  <c r="P49" i="2"/>
  <c r="O49" i="2"/>
  <c r="N49" i="2"/>
  <c r="E49" i="2"/>
  <c r="D49" i="2"/>
  <c r="C49" i="2"/>
  <c r="B49" i="2"/>
  <c r="Q48" i="2"/>
  <c r="P48" i="2"/>
  <c r="O48" i="2"/>
  <c r="N48" i="2"/>
  <c r="E48" i="2"/>
  <c r="D48" i="2"/>
  <c r="C48" i="2"/>
  <c r="B48" i="2"/>
  <c r="Q47" i="2"/>
  <c r="P47" i="2"/>
  <c r="O47" i="2"/>
  <c r="N47" i="2"/>
  <c r="E47" i="2"/>
  <c r="D47" i="2"/>
  <c r="C47" i="2"/>
  <c r="B47" i="2"/>
  <c r="Q46" i="2"/>
  <c r="P46" i="2"/>
  <c r="O46" i="2"/>
  <c r="N46" i="2"/>
  <c r="E46" i="2"/>
  <c r="D46" i="2"/>
  <c r="C46" i="2"/>
  <c r="B46" i="2"/>
  <c r="Q45" i="2"/>
  <c r="P45" i="2"/>
  <c r="O45" i="2"/>
  <c r="N45" i="2"/>
  <c r="E45" i="2"/>
  <c r="D45" i="2"/>
  <c r="C45" i="2"/>
  <c r="B45" i="2"/>
  <c r="Q44" i="2"/>
  <c r="P44" i="2"/>
  <c r="O44" i="2"/>
  <c r="N44" i="2"/>
  <c r="E44" i="2"/>
  <c r="D44" i="2"/>
  <c r="C44" i="2"/>
  <c r="B44" i="2"/>
  <c r="Q43" i="2"/>
  <c r="P43" i="2"/>
  <c r="O43" i="2"/>
  <c r="N43" i="2"/>
  <c r="E43" i="2"/>
  <c r="D43" i="2"/>
  <c r="C43" i="2"/>
  <c r="B43" i="2"/>
  <c r="Q42" i="2"/>
  <c r="P42" i="2"/>
  <c r="O42" i="2"/>
  <c r="N42" i="2"/>
  <c r="E42" i="2"/>
  <c r="D42" i="2"/>
  <c r="C42" i="2"/>
  <c r="B42" i="2"/>
  <c r="Q41" i="2"/>
  <c r="P41" i="2"/>
  <c r="O41" i="2"/>
  <c r="N41" i="2"/>
  <c r="E41" i="2"/>
  <c r="D41" i="2"/>
  <c r="C41" i="2"/>
  <c r="B41" i="2"/>
  <c r="Q40" i="2"/>
  <c r="P40" i="2"/>
  <c r="O40" i="2"/>
  <c r="N40" i="2"/>
  <c r="E40" i="2"/>
  <c r="D40" i="2"/>
  <c r="C40" i="2"/>
  <c r="B40" i="2"/>
  <c r="Q39" i="2"/>
  <c r="P39" i="2"/>
  <c r="O39" i="2"/>
  <c r="N39" i="2"/>
  <c r="E39" i="2"/>
  <c r="D39" i="2"/>
  <c r="C39" i="2"/>
  <c r="B39" i="2"/>
  <c r="Q38" i="2"/>
  <c r="P38" i="2"/>
  <c r="O38" i="2"/>
  <c r="N38" i="2"/>
  <c r="E38" i="2"/>
  <c r="D38" i="2"/>
  <c r="C38" i="2"/>
  <c r="B38" i="2"/>
  <c r="Q37" i="2"/>
  <c r="P37" i="2"/>
  <c r="O37" i="2"/>
  <c r="N37" i="2"/>
  <c r="E37" i="2"/>
  <c r="D37" i="2"/>
  <c r="C37" i="2"/>
  <c r="B37" i="2"/>
  <c r="Q36" i="2"/>
  <c r="P36" i="2"/>
  <c r="O36" i="2"/>
  <c r="N36" i="2"/>
  <c r="E36" i="2"/>
  <c r="D36" i="2"/>
  <c r="C36" i="2"/>
  <c r="B36" i="2"/>
  <c r="Q35" i="2"/>
  <c r="P35" i="2"/>
  <c r="O35" i="2"/>
  <c r="N35" i="2"/>
  <c r="E35" i="2"/>
  <c r="D35" i="2"/>
  <c r="C35" i="2"/>
  <c r="B35" i="2"/>
  <c r="Q34" i="2"/>
  <c r="P34" i="2"/>
  <c r="O34" i="2"/>
  <c r="N34" i="2"/>
  <c r="E34" i="2"/>
  <c r="D34" i="2"/>
  <c r="C34" i="2"/>
  <c r="B34" i="2"/>
  <c r="Q33" i="2"/>
  <c r="P33" i="2"/>
  <c r="O33" i="2"/>
  <c r="N33" i="2"/>
  <c r="E33" i="2"/>
  <c r="D33" i="2"/>
  <c r="C33" i="2"/>
  <c r="B33" i="2"/>
  <c r="Q32" i="2"/>
  <c r="P32" i="2"/>
  <c r="O32" i="2"/>
  <c r="N32" i="2"/>
  <c r="E32" i="2"/>
  <c r="D32" i="2"/>
  <c r="C32" i="2"/>
  <c r="B32" i="2"/>
  <c r="Q31" i="2"/>
  <c r="P31" i="2"/>
  <c r="O31" i="2"/>
  <c r="N31" i="2"/>
  <c r="E31" i="2"/>
  <c r="D31" i="2"/>
  <c r="C31" i="2"/>
  <c r="B31" i="2"/>
  <c r="Q30" i="2"/>
  <c r="P30" i="2"/>
  <c r="O30" i="2"/>
  <c r="N30" i="2"/>
  <c r="E30" i="2"/>
  <c r="D30" i="2"/>
  <c r="C30" i="2"/>
  <c r="B30" i="2"/>
  <c r="Q29" i="2"/>
  <c r="P29" i="2"/>
  <c r="O29" i="2"/>
  <c r="N29" i="2"/>
  <c r="E29" i="2"/>
  <c r="D29" i="2"/>
  <c r="C29" i="2"/>
  <c r="B29" i="2"/>
  <c r="Q28" i="2"/>
  <c r="P28" i="2"/>
  <c r="O28" i="2"/>
  <c r="N28" i="2"/>
  <c r="E28" i="2"/>
  <c r="D28" i="2"/>
  <c r="C28" i="2"/>
  <c r="B28" i="2"/>
  <c r="Q27" i="2"/>
  <c r="P27" i="2"/>
  <c r="O27" i="2"/>
  <c r="N27" i="2"/>
  <c r="E27" i="2"/>
  <c r="D27" i="2"/>
  <c r="C27" i="2"/>
  <c r="B27" i="2"/>
  <c r="Q26" i="2"/>
  <c r="P26" i="2"/>
  <c r="O26" i="2"/>
  <c r="N26" i="2"/>
  <c r="E26" i="2"/>
  <c r="D26" i="2"/>
  <c r="C26" i="2"/>
  <c r="B26" i="2"/>
  <c r="Q25" i="2"/>
  <c r="P25" i="2"/>
  <c r="O25" i="2"/>
  <c r="N25" i="2"/>
  <c r="E25" i="2"/>
  <c r="D25" i="2"/>
  <c r="C25" i="2"/>
  <c r="B25" i="2"/>
  <c r="Q24" i="2"/>
  <c r="P24" i="2"/>
  <c r="O24" i="2"/>
  <c r="N24" i="2"/>
  <c r="E24" i="2"/>
  <c r="D24" i="2"/>
  <c r="C24" i="2"/>
  <c r="B24" i="2"/>
  <c r="Q23" i="2"/>
  <c r="P23" i="2"/>
  <c r="O23" i="2"/>
  <c r="N23" i="2"/>
  <c r="E23" i="2"/>
  <c r="D23" i="2"/>
  <c r="C23" i="2"/>
  <c r="B23" i="2"/>
  <c r="Q22" i="2"/>
  <c r="P22" i="2"/>
  <c r="O22" i="2"/>
  <c r="N22" i="2"/>
  <c r="E22" i="2"/>
  <c r="D22" i="2"/>
  <c r="C22" i="2"/>
  <c r="B22" i="2"/>
  <c r="Q21" i="2"/>
  <c r="P21" i="2"/>
  <c r="O21" i="2"/>
  <c r="N21" i="2"/>
  <c r="E21" i="2"/>
  <c r="D21" i="2"/>
  <c r="C21" i="2"/>
  <c r="B21" i="2"/>
  <c r="Q20" i="2"/>
  <c r="P20" i="2"/>
  <c r="O20" i="2"/>
  <c r="N20" i="2"/>
  <c r="E20" i="2"/>
  <c r="D20" i="2"/>
  <c r="C20" i="2"/>
  <c r="B20" i="2"/>
  <c r="Q19" i="2"/>
  <c r="P19" i="2"/>
  <c r="O19" i="2"/>
  <c r="N19" i="2"/>
  <c r="E19" i="2"/>
  <c r="D19" i="2"/>
  <c r="C19" i="2"/>
  <c r="B19" i="2"/>
  <c r="Q18" i="2"/>
  <c r="P18" i="2"/>
  <c r="O18" i="2"/>
  <c r="N18" i="2"/>
  <c r="E18" i="2"/>
  <c r="D18" i="2"/>
  <c r="C18" i="2"/>
  <c r="B18" i="2"/>
  <c r="Q17" i="2"/>
  <c r="P17" i="2"/>
  <c r="O17" i="2"/>
  <c r="N17" i="2"/>
  <c r="E17" i="2"/>
  <c r="D17" i="2"/>
  <c r="C17" i="2"/>
  <c r="B17" i="2"/>
  <c r="Q16" i="2"/>
  <c r="P16" i="2"/>
  <c r="O16" i="2"/>
  <c r="E16" i="2"/>
  <c r="D16" i="2"/>
  <c r="C16" i="2"/>
  <c r="B16" i="2"/>
  <c r="Q15" i="2"/>
  <c r="P15" i="2"/>
  <c r="O15" i="2"/>
  <c r="N15" i="2"/>
  <c r="E15" i="2"/>
  <c r="D15" i="2"/>
  <c r="C15" i="2"/>
  <c r="B15" i="2"/>
  <c r="Q14" i="2"/>
  <c r="P14" i="2"/>
  <c r="O14" i="2"/>
  <c r="N14" i="2"/>
  <c r="E14" i="2"/>
  <c r="D14" i="2"/>
  <c r="C14" i="2"/>
  <c r="B14" i="2"/>
  <c r="Q13" i="2"/>
  <c r="P13" i="2"/>
  <c r="O13" i="2"/>
  <c r="N13" i="2"/>
  <c r="E13" i="2"/>
  <c r="D13" i="2"/>
  <c r="C13" i="2"/>
  <c r="B13" i="2"/>
  <c r="Q12" i="2"/>
  <c r="P12" i="2"/>
  <c r="O12" i="2"/>
  <c r="N12" i="2"/>
  <c r="E12" i="2"/>
  <c r="D12" i="2"/>
  <c r="C12" i="2"/>
  <c r="B12" i="2"/>
  <c r="Q11" i="2"/>
  <c r="P11" i="2"/>
  <c r="O11" i="2"/>
  <c r="N11" i="2"/>
  <c r="E11" i="2"/>
  <c r="D11" i="2"/>
  <c r="C11" i="2"/>
  <c r="B11" i="2"/>
  <c r="Q10" i="2"/>
  <c r="P10" i="2"/>
  <c r="O10" i="2"/>
  <c r="N10" i="2"/>
  <c r="E10" i="2"/>
  <c r="D10" i="2"/>
  <c r="C10" i="2"/>
  <c r="B10" i="2"/>
  <c r="Q9" i="2"/>
  <c r="P9" i="2"/>
  <c r="O9" i="2"/>
  <c r="N9" i="2"/>
  <c r="E9" i="2"/>
  <c r="D9" i="2"/>
  <c r="C9" i="2"/>
  <c r="B9" i="2"/>
  <c r="Q8" i="2"/>
  <c r="P8" i="2"/>
  <c r="O8" i="2"/>
  <c r="N8" i="2"/>
  <c r="E8" i="2"/>
  <c r="D8" i="2"/>
  <c r="C8" i="2"/>
  <c r="B8" i="2"/>
  <c r="Q7" i="2"/>
  <c r="P7" i="2"/>
  <c r="O7" i="2"/>
  <c r="N7" i="2"/>
  <c r="E7" i="2"/>
  <c r="D7" i="2"/>
  <c r="C7" i="2"/>
  <c r="B7" i="2"/>
  <c r="Q6" i="2"/>
  <c r="P6" i="2"/>
  <c r="O6" i="2"/>
  <c r="N6" i="2"/>
  <c r="E6" i="2"/>
  <c r="D6" i="2"/>
  <c r="C6" i="2"/>
  <c r="B6" i="2"/>
  <c r="Q5" i="2"/>
  <c r="P5" i="2"/>
  <c r="O5" i="2"/>
  <c r="N5" i="2"/>
  <c r="E5" i="2"/>
  <c r="D5" i="2"/>
  <c r="C5" i="2"/>
  <c r="B5" i="2"/>
  <c r="F46" i="4" l="1"/>
  <c r="C46" i="4"/>
  <c r="D46" i="4"/>
  <c r="E46" i="4"/>
  <c r="G46" i="4"/>
  <c r="F36" i="4"/>
  <c r="K14" i="4"/>
  <c r="I17" i="4"/>
  <c r="I19" i="4"/>
  <c r="C15" i="4"/>
  <c r="J15" i="4" s="1"/>
  <c r="K13" i="4"/>
  <c r="F37" i="4"/>
  <c r="C24" i="4"/>
  <c r="J24" i="4" s="1"/>
  <c r="I22" i="4"/>
  <c r="K21" i="4"/>
  <c r="K23" i="4"/>
  <c r="I23" i="4"/>
  <c r="C25" i="4"/>
  <c r="J25" i="4" s="1"/>
  <c r="I24" i="4"/>
  <c r="K24" i="4"/>
  <c r="C23" i="4"/>
  <c r="J23" i="4" s="1"/>
  <c r="K7" i="4"/>
  <c r="K22" i="4"/>
  <c r="F8" i="4"/>
  <c r="I21" i="4"/>
  <c r="D8" i="4"/>
  <c r="G8" i="4"/>
  <c r="C21" i="4"/>
  <c r="J21" i="4" s="1"/>
  <c r="I7" i="4"/>
  <c r="H8" i="4"/>
  <c r="K20" i="4"/>
  <c r="I20" i="4"/>
  <c r="C19" i="4"/>
  <c r="J19" i="4" s="1"/>
  <c r="C18" i="4"/>
  <c r="J18" i="4" s="1"/>
  <c r="I18" i="4"/>
  <c r="C16" i="4"/>
  <c r="J16" i="4" s="1"/>
  <c r="C17" i="4"/>
  <c r="J17" i="4" s="1"/>
  <c r="K16" i="4"/>
  <c r="K15" i="4"/>
  <c r="C14" i="4"/>
  <c r="J14" i="4" s="1"/>
  <c r="I14" i="4"/>
  <c r="I6" i="4"/>
  <c r="C13" i="4"/>
  <c r="J13" i="4" s="1"/>
  <c r="K6" i="4"/>
  <c r="C22" i="4"/>
  <c r="J22" i="4" s="1"/>
  <c r="C30" i="4"/>
  <c r="C32" i="4"/>
  <c r="C34" i="4"/>
  <c r="C36" i="4"/>
  <c r="C7" i="4"/>
  <c r="J7" i="4" s="1"/>
  <c r="K19" i="4"/>
  <c r="D30" i="4"/>
  <c r="D32" i="4"/>
  <c r="D34" i="4"/>
  <c r="D36" i="4"/>
  <c r="C6" i="4"/>
  <c r="E8" i="4"/>
  <c r="I16" i="4"/>
  <c r="K18" i="4"/>
  <c r="C20" i="4"/>
  <c r="J20" i="4" s="1"/>
  <c r="E30" i="4"/>
  <c r="E32" i="4"/>
  <c r="E34" i="4"/>
  <c r="E36" i="4"/>
  <c r="I15" i="4"/>
  <c r="K17" i="4"/>
  <c r="I25" i="4"/>
  <c r="F30" i="4"/>
  <c r="F32" i="4"/>
  <c r="F34" i="4"/>
  <c r="I13" i="4"/>
  <c r="K25" i="4"/>
  <c r="C31" i="4"/>
  <c r="C33" i="4"/>
  <c r="C35" i="4"/>
  <c r="C37" i="4"/>
  <c r="D31" i="4"/>
  <c r="D33" i="4"/>
  <c r="D35" i="4"/>
  <c r="D37" i="4"/>
  <c r="E31" i="4"/>
  <c r="E33" i="4"/>
  <c r="E35" i="4"/>
  <c r="E37" i="4"/>
  <c r="F31" i="4"/>
  <c r="F33" i="4"/>
  <c r="F35" i="4"/>
  <c r="K8" i="4" l="1"/>
  <c r="G37" i="4"/>
  <c r="I8" i="4"/>
  <c r="G35" i="4"/>
  <c r="G31" i="4"/>
  <c r="G33" i="4"/>
  <c r="G36" i="4"/>
  <c r="G34" i="4"/>
  <c r="G32" i="4"/>
  <c r="G30" i="4"/>
  <c r="J6" i="4"/>
  <c r="C8" i="4"/>
  <c r="J8" i="4" s="1"/>
</calcChain>
</file>

<file path=xl/sharedStrings.xml><?xml version="1.0" encoding="utf-8"?>
<sst xmlns="http://schemas.openxmlformats.org/spreadsheetml/2006/main" count="2384" uniqueCount="980">
  <si>
    <t>Protect (PR) Assessment — NIST CSF 2.0 (asset x subcategory matrix)</t>
  </si>
  <si>
    <t>One row per asset (= 01-asset-inventory.md). Set each subcategory cell to a Status; N/A = not applicable to this asset (see Guide). Grey = formulas. Your original text is carried over verbatim; blue column = reviewer suggestions only.</t>
  </si>
  <si>
    <t>Asset ID</t>
  </si>
  <si>
    <t>Source ID</t>
  </si>
  <si>
    <t>Asset Name</t>
  </si>
  <si>
    <t>Category</t>
  </si>
  <si>
    <t>Priority</t>
  </si>
  <si>
    <t>PR.AA-01
Credentials</t>
  </si>
  <si>
    <t>PR.AA-03
Authentication</t>
  </si>
  <si>
    <t>PR.AA-05
Access review</t>
  </si>
  <si>
    <t>PR.DS-01
Data at rest</t>
  </si>
  <si>
    <t>PR.DS-02
Data in transit</t>
  </si>
  <si>
    <t>PR.DS-11
Backup</t>
  </si>
  <si>
    <t>PR.PS-01
Configuration</t>
  </si>
  <si>
    <t>PR.IR-01
Network protection</t>
  </si>
  <si>
    <t>Overall</t>
  </si>
  <si>
    <t>Assessed</t>
  </si>
  <si>
    <t>Remaining ??</t>
  </si>
  <si>
    <t>Gaps</t>
  </si>
  <si>
    <t>Checklist (per subcategory)</t>
  </si>
  <si>
    <t>Target State</t>
  </si>
  <si>
    <t>Current State</t>
  </si>
  <si>
    <t>Risk if Gap</t>
  </si>
  <si>
    <t>Evidence / Notes</t>
  </si>
  <si>
    <t>Remediation Action</t>
  </si>
  <si>
    <t>Related Finding</t>
  </si>
  <si>
    <t>Migrated From</t>
  </si>
  <si>
    <t>Reviewer Comment</t>
  </si>
  <si>
    <t>AST-001</t>
  </si>
  <si>
    <t>N/A</t>
  </si>
  <si>
    <t>??</t>
  </si>
  <si>
    <t>AA-03: Unlock method (passcode strength, biometrics) and auto-lock
AA-05: Daily use runs as standard user (not admin); guest user disabled
DS-01: FileVault full-disk encryption enabled
DS-02: Encrypted transport on untrusted networks (VPN / encrypted DNS)
DS-11: MacBook backup (Time Machine or equivalent)
PS-01: macOS auto-updates, Gatekeeper, SIP, screen-lock timeout
IR-01: macOS firewall enabled (stealth mode); sharing services off</t>
  </si>
  <si>
    <t>AA-03: Strong passcode / password; biometrics ON; auto-lock enabled
AA-05: Separate admin account; guest disabled
DS-01: FileVault ON; recovery key stored offline (not only in iCloud)
DS-02: Trusted VPN or iCloud Private Relay on untrusted networks
DS-11: Encrypted Time Machine backup; restore tested
PS-01: Auto-updates ON; Gatekeeper/SIP ON; lock &lt;= 5 min
IR-01: Firewall + stealth mode ON; unused sharing off</t>
  </si>
  <si>
    <t>F4, F5</t>
  </si>
  <si>
    <t>PR-025, PR-028, PR-039, PR-043, PR-046, PR-051</t>
  </si>
  <si>
    <t>AST-002</t>
  </si>
  <si>
    <t>AA-03: Device unlock method (passcode length, Face ID) and Stolen Device Protection
DS-01: Device encryption via passcode; Advanced Data Protection for iCloud
DS-02: Encrypted transport on untrusted / public Wi-Fi
DS-11: Device backup configured and restore tested
PS-01: iOS auto-updates, lock-screen access (Control Center, USB Accessories)
IR-01: Auto-join of open networks disabled; Private Wi-Fi Address enabled</t>
  </si>
  <si>
    <t>AA-03: 6+ digit or alphanumeric passcode; Stolen Device Protection ON
DS-01: Strong passcode; Advanced Data Protection ON
DS-02: Trusted VPN or iCloud Private Relay on public Wi-Fi
DS-11: Encrypted backup; restore tested
PS-01: Auto-updates ON; lock-screen access minimized
IR-01: Auto-join off for public Wi-Fi; private address ON</t>
  </si>
  <si>
    <t>F1, F5</t>
  </si>
  <si>
    <t>PR-021, PR-029, PR-040, PR-047, PR-052</t>
  </si>
  <si>
    <t>AST-003</t>
  </si>
  <si>
    <t>AA-03: Unlock method (passcode strength, biometrics) and auto-lock
DS-01: Device passcode set (enables data protection)
DS-02: Encrypted transport on untrusted networks
DS-11: Device backup configured and restore tested
PS-01: iPadOS auto-updates and auto-lock
IR-01: Firewall / network exposure settings</t>
  </si>
  <si>
    <t>AA-03: Strong passcode / password; biometrics ON; auto-lock enabled
DS-01: Passcode set; auto-lock enabled
DS-02: Trusted VPN or iCloud Private Relay on untrusted networks
DS-11: Encrypted backup; restore tested
PS-01: Auto-updates ON; auto-lock enabled
IR-01: Firewall ON; unused sharing / auto-join off</t>
  </si>
  <si>
    <t>PR-030, PR-048</t>
  </si>
  <si>
    <t>AST-004</t>
  </si>
  <si>
    <t>AA-03: Authentication required before the eSIM can be transferred or removed
PS-01: SIM/eSIM PIN and eSIM transfer protection</t>
  </si>
  <si>
    <t>AA-03: eSIM transfer requires device passcode and carrier verification
PS-01: SIM PIN enabled</t>
  </si>
  <si>
    <t>F3</t>
  </si>
  <si>
    <t>PR-049</t>
  </si>
  <si>
    <t>AST-005</t>
  </si>
  <si>
    <t>AA-01: Wi-Fi password strength and who knows it; router admin credentials changed from default
AA-05: Who has the Wi-Fi password / admin access; guest network available
DS-02: Wi-Fi encryption protocol (WPA2/WPA3) in use
PS-01: Router firmware / default settings (or documented as landlord-controlled)
IR-01: Router admin control, connected-device visibility, network segmentation</t>
  </si>
  <si>
    <t>AA-01: Strong Wi-Fi password; admin credentials non-default (or documented as landlord-controlled)
AA-05: Access limited to known people; treated as untrusted network
DS-02: WPA2-AES or WPA3; treated as untrusted regardless
PS-01: Firmware current, or documented as accepted risk
IR-01: Treated as untrusted; endpoint controls compensate</t>
  </si>
  <si>
    <t>F5</t>
  </si>
  <si>
    <t>PR-038, PR-050</t>
  </si>
  <si>
    <t>AST-006</t>
  </si>
  <si>
    <t>Partial</t>
  </si>
  <si>
    <t>AA-01: Unique, strong password stored in password manager; not reused elsewhere; recovery email/phone current
AA-03: MFA method available and enabled at the bank
AA-05: Active sessions, connected third-party apps, and shared access reviewed</t>
  </si>
  <si>
    <t>AA-01: Unique 16+ char password in password manager; recovery contacts verified
AA-03: Strongest MFA the bank supports; SMS only if no alternative
AA-05: Only current sessions / needed apps; reviewed quarterly</t>
  </si>
  <si>
    <t>A unique password is used and stored in a password manager. Recovery email and phone information are current. MFA is enabled using SMS.</t>
  </si>
  <si>
    <t>SMS-based MFA provides additional protection, but it is more exposed to SIM-swap or phone-number takeover risks than stronger authentication methods.</t>
  </si>
  <si>
    <t>User confirmed a unique password, password manager use, current recovery information, and SMS-based MFA.</t>
  </si>
  <si>
    <t>Keep the unique password and password manager. If the bank supports a stronger MFA option, migrate from SMS.</t>
  </si>
  <si>
    <t>PR-004, PR-015</t>
  </si>
  <si>
    <t>[PR-004] Password / recovery elements of AA-01 appear fully met; the gap described (SMS-based MFA) belongs to AA-03. Suggested: AA-01 Implemented, AA-03 Partial.</t>
  </si>
  <si>
    <t>AST-007</t>
  </si>
  <si>
    <t>AA-01: Unique, strong password stored in password manager; not reused elsewhere; recovery email/phone current
AA-03: MFA method enabled
AA-05: Active sessions, connected third-party apps, and shared access reviewed</t>
  </si>
  <si>
    <t>AA-01: Unique 16+ char password in password manager; recovery contacts verified
AA-03: Authenticator app or passkey
AA-05: Only current sessions / needed apps; reviewed quarterly</t>
  </si>
  <si>
    <t>A unique password is used and stored in a password manager. Recovery email and phone information are current. MFA is not enabled, and the available MFA method has not been verified.</t>
  </si>
  <si>
    <t>Without MFA, a stolen or exposed password could be enough to access the account and potentially initiate unauthorized transfers.</t>
  </si>
  <si>
    <t>User confirmed a unique password, password manager use, current recovery information, and no MFA.</t>
  </si>
  <si>
    <t>Enable MFA using the strongest method supported by the service and verify the available authentication options.</t>
  </si>
  <si>
    <t>PR-005, PR-016</t>
  </si>
  <si>
    <t>[PR-005] Password / recovery elements of AA-01 appear fully met; the gap described (no MFA) belongs to AA-03. Suggested: AA-01 Implemented, AA-03 Not Implemented.</t>
  </si>
  <si>
    <t>AST-008</t>
  </si>
  <si>
    <t>AA-01: Unique 16+ char password in password manager; recovery contacts verified
AA-03: Strongest MFA the issuer supports
AA-05: Only current sessions / needed apps; reviewed quarterly</t>
  </si>
  <si>
    <t>PR-006, PR-017</t>
  </si>
  <si>
    <t>AST-009</t>
  </si>
  <si>
    <t>AA-01: Unique, strong password stored in password manager; not reused elsewhere; recovery email/phone current
AA-03: MFA enabled and which method (passkey / authenticator app / SMS)
AA-05: Active sessions, connected third-party apps, and shared access reviewed</t>
  </si>
  <si>
    <t>AA-01: Unique 16+ char password in password manager; recovery contacts verified
AA-03: Strongest MFA the service supports; SMS only if no alternative
AA-05: Only current sessions / needed apps; reviewed quarterly</t>
  </si>
  <si>
    <t>AST-010</t>
  </si>
  <si>
    <t>AA-03: Per-transaction authentication (Face ID / passcode)
AA-05: Devices holding the cards reviewed; unused cards removed</t>
  </si>
  <si>
    <t>AA-03: Every payment requires Face ID or passcode
AA-05: Cards only on devices in use; unused cards removed</t>
  </si>
  <si>
    <t>AST-011</t>
  </si>
  <si>
    <t>AST-012</t>
  </si>
  <si>
    <t>AST-013</t>
  </si>
  <si>
    <t>AA-01: Unique, strong password stored in password manager; not reused elsewhere; recovery email/phone current (password-reset hub for most services)
AA-03: MFA enabled and which method (passkey / authenticator app / SMS)
AA-05: Active sessions, connected third-party apps, and shared access reviewed</t>
  </si>
  <si>
    <t>Gmail uses the same password as the Google Account. The password is managed through the Google Account credential</t>
  </si>
  <si>
    <t>Reuse of the same credential across related services may increase account compromise risk if the credential is exposed.</t>
  </si>
  <si>
    <t>User confirmed Gmail uses the same password as the Google Account.</t>
  </si>
  <si>
    <t>Keep the Google Account credential unique from unrelated services and continue managing it securely with a password manager.</t>
  </si>
  <si>
    <t>PR-003</t>
  </si>
  <si>
    <t>[PR-003] Gmail uses the Google Account credential (AST-018), where password reuse was recorded, but Remediation here says 'keep ... unique'. Consider aligning the text with AST-018, or marking AA-01 / AA-03 as N/A with 'covered by AST-018'.</t>
  </si>
  <si>
    <t>AST-014</t>
  </si>
  <si>
    <t>AA-01: Account purpose defined, or dormant account retired
AA-03: MFA enabled and which method (passkey / authenticator app / SMS)
AA-05: Active sessions, connected third-party apps, and shared access reviewed</t>
  </si>
  <si>
    <t>AA-01: Purpose documented or account deleted
AA-03: Strongest MFA the service supports; SMS only if no alternative
AA-05: Only current sessions / needed apps; reviewed quarterly</t>
  </si>
  <si>
    <t>PR-011</t>
  </si>
  <si>
    <t>AST-015</t>
  </si>
  <si>
    <t>AST-016</t>
  </si>
  <si>
    <t>AST-017</t>
  </si>
  <si>
    <t>AA-01: Unique, strong password stored in password manager; not reused elsewhere; recovery email/phone current; recovery key / recovery contact configured
AA-03: Two-factor authentication method and trusted phone numbers
AA-05: Trusted devices list and Family Sharing / shared access reviewed</t>
  </si>
  <si>
    <t>AA-01: Unique 16+ char password in password manager; recovery contacts verified; Recovery Key or Recovery Contact set
AA-03: Phishing-resistant MFA (passkey / security key) or authenticator app; SMS removed as a factor; security keys registered for Apple ID
AA-05: Only current devices listed; reviewed quarterly</t>
  </si>
  <si>
    <t>The Apple ID password was previously reused across multiple accounts and memorized. The password has since been changed to a new password. The recovery phone number has not been verified. No Recovery Contact or Recovery Key is configured.</t>
  </si>
  <si>
    <t>Weak recovery configuration may delay or complicate account recovery if access is lost.</t>
  </si>
  <si>
    <t>Password reuse was identified during the initial assessment. The password was later changed. Recovery phone number remains unverified, and no Recovery Contact or Recovery Key is configured</t>
  </si>
  <si>
    <t>Verify the trusted recovery phone number and configure an appropriate recovery method.</t>
  </si>
  <si>
    <t>F2</t>
  </si>
  <si>
    <t>PR-001, PR-013, PR-022</t>
  </si>
  <si>
    <t>[PR-001] AA-01: Current State does not say whether the new password is stored in the password manager or meets the 16+ char target; add that to confirm AA-01. AA-05: Detect sheet (old DE-041) records that the device list was reviewed and all devices were recognized — usable evidence for AA-05.</t>
  </si>
  <si>
    <t>AST-018</t>
  </si>
  <si>
    <t>AA-01: Unique, strong password stored in password manager; not reused elsewhere; recovery email/phone current
AA-03: 2-Step Verification method (SMS / app / passkey)
AA-05: Third-party apps with Google Account access reviewed and pruned</t>
  </si>
  <si>
    <t>AA-01: Unique 16+ char password in password manager; recovery contacts verified; backup codes stored offline
AA-03: Phishing-resistant MFA (passkey / security key) or authenticator app; SMS removed as a factor
AA-05: Unused third-party access removed; reviewed quarterly</t>
  </si>
  <si>
    <t>The Google Account password is reused across other services but is stored in a password manager. The recovery email is current, but the recovery phone number is outdated. Backup codes have not been saved. Two-Step Verification is enabled with a passkey, and SMS is not used as an authentication factor. Some suspicious or unfamiliar third-party applications were identified, and unused connections have not yet been removed</t>
  </si>
  <si>
    <t>Password reuse increases the risk of credential stuffing. Outdated recovery information and missing backup codes may complicate account recovery. Unnecessary third-party access may also increase the attack surface.</t>
  </si>
  <si>
    <t>User confirmed password reuse, password manager use, current recovery email, outdated recovery phone number, no saved backup codes, passkey-based 2-Step Verification, no SMS authentication, and unused or questionable third-party connections.</t>
  </si>
  <si>
    <t>Change the password to a unique password, update the recovery phone number, generate and securely store backup codes, and remove unused or unfamiliar third-party applications.</t>
  </si>
  <si>
    <t>PR-002, PR-014, PR-023</t>
  </si>
  <si>
    <t>[PR-002] Text also covers other columns: passkey 2-Step Verification with no SMS -&gt; AA-03 looks Implemented; unfamiliar third-party apps not yet removed -&gt; AA-05 looks Partial. Those columns are left as ?? for you to decide.</t>
  </si>
  <si>
    <t>AST-019</t>
  </si>
  <si>
    <t>AST-020</t>
  </si>
  <si>
    <t>PR-010</t>
  </si>
  <si>
    <t>AST-021</t>
  </si>
  <si>
    <t>AST-022</t>
  </si>
  <si>
    <t>AST-023</t>
  </si>
  <si>
    <t>AST-024</t>
  </si>
  <si>
    <t>AST-025</t>
  </si>
  <si>
    <t>AST-026</t>
  </si>
  <si>
    <t>AST-027</t>
  </si>
  <si>
    <t>AST-028</t>
  </si>
  <si>
    <t>AST-029</t>
  </si>
  <si>
    <t>AST-030</t>
  </si>
  <si>
    <t>AST-031</t>
  </si>
  <si>
    <t>AST-032</t>
  </si>
  <si>
    <t>AST-033</t>
  </si>
  <si>
    <t>AST-034</t>
  </si>
  <si>
    <t>AA-01: Unique, strong password stored in password manager; not reused elsewhere; recovery email/phone current
AA-03: 2-step verification method on LinkedIn
AA-05: Active sessions, connected third-party apps, and shared access reviewed</t>
  </si>
  <si>
    <t>AA-01: Unique 16+ char password in password manager; recovery contacts verified
AA-03: Authenticator app
AA-05: Only current sessions / needed apps; reviewed quarterly</t>
  </si>
  <si>
    <t>PR-008, PR-020</t>
  </si>
  <si>
    <t>AST-035</t>
  </si>
  <si>
    <t>AA-01: Unique, strong password stored in password manager; not reused elsewhere; recovery email/phone current
AA-03: 2FA method on GitHub
AA-05: Personal access tokens, SSH keys, OAuth apps and repo visibility reviewed</t>
  </si>
  <si>
    <t>AA-01: Unique 16+ char password in password manager; recovery contacts verified
AA-03: Passkey or security key + authenticator app; recovery codes stored offline
AA-05: Least-privilege fine-grained tokens with expiry; unused keys/apps removed</t>
  </si>
  <si>
    <t>PR-009, PR-019, PR-024</t>
  </si>
  <si>
    <t>AST-036</t>
  </si>
  <si>
    <t>AST-037</t>
  </si>
  <si>
    <t>AST-038</t>
  </si>
  <si>
    <t>AST-039</t>
  </si>
  <si>
    <t>AST-040</t>
  </si>
  <si>
    <t>AA-01: Unique, strong password stored in password manager; not reused elsewhere; recovery email/phone current; account transfer / PIN settings reviewed
AA-03: MFA enabled and which method (passkey / authenticator app / SMS)
AA-05: Active sessions, connected third-party apps, and shared access reviewed</t>
  </si>
  <si>
    <t>PR-012</t>
  </si>
  <si>
    <t>AST-041</t>
  </si>
  <si>
    <t>AST-042</t>
  </si>
  <si>
    <t>AA-05: Channel / connected-app permissions reviewed (credentials covered by Google Account)</t>
  </si>
  <si>
    <t>AA-05: No unknown channel managers or connected apps</t>
  </si>
  <si>
    <t>AST-043</t>
  </si>
  <si>
    <t>AA-01: Unique, strong password stored in password manager; not reused elsewhere; recovery email/phone current; carrier account PIN set
AA-03: Port-out / SIM-swap protection (number lock, extra verification for SIM change)
AA-05: Active sessions, connected third-party apps, and shared access reviewed</t>
  </si>
  <si>
    <t>AA-01: Unique 16+ char password in password manager; recovery contacts verified; carrier PIN / passcode set
AA-03: Number lock / SIM protection enabled with carrier
AA-05: Only current sessions / needed apps; reviewed quarterly</t>
  </si>
  <si>
    <t>PR-007, PR-018</t>
  </si>
  <si>
    <t>AST-044</t>
  </si>
  <si>
    <t>AST-045</t>
  </si>
  <si>
    <t>AST-046</t>
  </si>
  <si>
    <t>DS-01: Job-hunting materials location and access protection
DS-02: Sent only via encrypted channels / official portals when shared
DS-11: Job-hunting materials backup</t>
  </si>
  <si>
    <t>DS-01: Stored in encrypted, backed-up location
DS-02: Never sent as plain email attachment
DS-11: At least 2 copies, 1 off-device</t>
  </si>
  <si>
    <t>PR-033, PR-044</t>
  </si>
  <si>
    <t>AST-047</t>
  </si>
  <si>
    <t>DS-01: Stored in an encrypted / access-controlled location
DS-02: Sent only via encrypted channels / official portals when shared
DS-11: Backup copy exists outside the laptop; restore tested</t>
  </si>
  <si>
    <t>DS-01: Encrypted disk or vault; no stray copies in Downloads or email
DS-02: Never sent as plain email attachment
DS-11: At least 2 copies, 1 off-device</t>
  </si>
  <si>
    <t>AST-048</t>
  </si>
  <si>
    <t>AST-049</t>
  </si>
  <si>
    <t>AST-050</t>
  </si>
  <si>
    <t>DS-01: Financial documents stored in a protected location
DS-02: Sent only via encrypted channels / official portals when shared
DS-11: Backup copy exists outside the laptop; restore tested</t>
  </si>
  <si>
    <t>DS-01: Encrypted folder or vault; old statements purged
DS-02: Never sent as plain email attachment
DS-11: At least 2 copies, 1 off-device</t>
  </si>
  <si>
    <t>PR-032</t>
  </si>
  <si>
    <t>AST-051</t>
  </si>
  <si>
    <t>AST-052</t>
  </si>
  <si>
    <t>AA-05: Sharing links and collaborators reviewed
DS-01: iCloud Photos protection (Advanced Data Protection)
DS-11: Second copy of iCloud Photos outside iCloud</t>
  </si>
  <si>
    <t>AA-05: No public links to personal data; collaborators limited to me
DS-01: Advanced Data Protection ON
DS-11: Periodic export to encrypted external storage</t>
  </si>
  <si>
    <t>PR-035, PR-045</t>
  </si>
  <si>
    <t>AST-053</t>
  </si>
  <si>
    <t>AA-05: Sharing links and collaborators reviewed
DS-01: Encryption options (e.g., Advanced Data Protection) and sensitive files minimized
DS-11: Copy exists outside this provider</t>
  </si>
  <si>
    <t>AA-05: No public links to personal data; collaborators limited to me
DS-01: Strongest encryption option ON; sensitive files minimized
DS-11: Periodic export to a second location</t>
  </si>
  <si>
    <t>AST-054</t>
  </si>
  <si>
    <t>AST-055</t>
  </si>
  <si>
    <t>AST-056</t>
  </si>
  <si>
    <t>DS-01: Obsidian vault protection at rest
DS-11: Obsidian vault backup / version history</t>
  </si>
  <si>
    <t>DS-01: Vault on FileVault disk; encrypted backup copy exists
DS-11: Private Git repo or encrypted backup; restore tested</t>
  </si>
  <si>
    <t>F4</t>
  </si>
  <si>
    <t>PR-034, PR-042</t>
  </si>
  <si>
    <t>AST-057</t>
  </si>
  <si>
    <t>AST-058</t>
  </si>
  <si>
    <t>DS-01: Physical storage of passport (locked, known location)
DS-11: Secure copy of document details kept for replacement</t>
  </si>
  <si>
    <t>DS-01: Locked storage; copy location documented
DS-11: Encrypted scan or recorded number stored separately</t>
  </si>
  <si>
    <t>PR-036</t>
  </si>
  <si>
    <t>AST-059</t>
  </si>
  <si>
    <t>DS-01: Stored in a secure, known location
DS-11: Secure copy of document details kept for replacement</t>
  </si>
  <si>
    <t>DS-01: Locked storage; location known
DS-11: Encrypted scan or recorded number stored separately</t>
  </si>
  <si>
    <t>AST-060</t>
  </si>
  <si>
    <t>DS-01: Physical storage of SSN-related documents
DS-11: Secure copy of document details kept for replacement</t>
  </si>
  <si>
    <t>DS-01: Locked storage; SSN card not carried
DS-11: Encrypted scan or recorded number stored separately</t>
  </si>
  <si>
    <t>PR-037</t>
  </si>
  <si>
    <t>AST-061</t>
  </si>
  <si>
    <t>DS-01: Stored in a secure, known location</t>
  </si>
  <si>
    <t>DS-01: Secure storage; location known</t>
  </si>
  <si>
    <t>AST-062</t>
  </si>
  <si>
    <t>AST-063</t>
  </si>
  <si>
    <t>AST-064</t>
  </si>
  <si>
    <t>AST-065</t>
  </si>
  <si>
    <t>AST-066</t>
  </si>
  <si>
    <t>AST-067</t>
  </si>
  <si>
    <t>AST-068</t>
  </si>
  <si>
    <t>AST-069</t>
  </si>
  <si>
    <t>AST-070</t>
  </si>
  <si>
    <t>AST-071</t>
  </si>
  <si>
    <t>AST-072</t>
  </si>
  <si>
    <t>AST-073</t>
  </si>
  <si>
    <t>AST-074</t>
  </si>
  <si>
    <t>AST-075</t>
  </si>
  <si>
    <t>AST-076</t>
  </si>
  <si>
    <t>AST-077</t>
  </si>
  <si>
    <t>AST-078</t>
  </si>
  <si>
    <t>AST-079</t>
  </si>
  <si>
    <t>AST-080</t>
  </si>
  <si>
    <t>AST-081</t>
  </si>
  <si>
    <t>AST-082</t>
  </si>
  <si>
    <t>AST-083</t>
  </si>
  <si>
    <t>AST-084</t>
  </si>
  <si>
    <t>AST-085</t>
  </si>
  <si>
    <t>AST-086</t>
  </si>
  <si>
    <t>AST-087</t>
  </si>
  <si>
    <t>AST-088</t>
  </si>
  <si>
    <t>AST-089</t>
  </si>
  <si>
    <t>AST-090</t>
  </si>
  <si>
    <t>AST-091</t>
  </si>
  <si>
    <t>AST-092</t>
  </si>
  <si>
    <t>AST-093</t>
  </si>
  <si>
    <t>AST-094</t>
  </si>
  <si>
    <t>AST-095</t>
  </si>
  <si>
    <t>AST-096</t>
  </si>
  <si>
    <t>AST-097</t>
  </si>
  <si>
    <t>AST-098</t>
  </si>
  <si>
    <t>AST-099</t>
  </si>
  <si>
    <t>AST-100</t>
  </si>
  <si>
    <t>Asset Register — NIST CSF 2.0 ID.AM (source: 01-asset-inventory.md)</t>
  </si>
  <si>
    <t>Asset ID (AST-xxx) is the key referenced by the Protect / Detect sheets. Yellow cells are inputs. Rows up to AST-100 are pre-numbered for future additions.</t>
  </si>
  <si>
    <t>Layer</t>
  </si>
  <si>
    <t>Description</t>
  </si>
  <si>
    <t>C</t>
  </si>
  <si>
    <t>I</t>
  </si>
  <si>
    <t>A</t>
  </si>
  <si>
    <t>Control / Owner</t>
  </si>
  <si>
    <t>Related Findings</t>
  </si>
  <si>
    <t>Notes</t>
  </si>
  <si>
    <t>H-01</t>
  </si>
  <si>
    <t>Hardware</t>
  </si>
  <si>
    <t>Device</t>
  </si>
  <si>
    <t>MacBook Air (M4)</t>
  </si>
  <si>
    <t>Primary laptop; holds all work and study files</t>
  </si>
  <si>
    <t>High</t>
  </si>
  <si>
    <t>Critical</t>
  </si>
  <si>
    <t>Self</t>
  </si>
  <si>
    <t>H-02</t>
  </si>
  <si>
    <t>iPhone 14</t>
  </si>
  <si>
    <t>Primary phone; 2FA device for most accounts; Apple Pay wallet</t>
  </si>
  <si>
    <t>F1, F2, F5</t>
  </si>
  <si>
    <t>H-03</t>
  </si>
  <si>
    <t>iPad</t>
  </si>
  <si>
    <t>Study device (note-taking, reading)</t>
  </si>
  <si>
    <t>Medium</t>
  </si>
  <si>
    <t>F2, F5</t>
  </si>
  <si>
    <t>H-04</t>
  </si>
  <si>
    <t>eSIM profile</t>
  </si>
  <si>
    <t>Binds the phone number to the device; foundation of SMS-based 2FA</t>
  </si>
  <si>
    <t>H-05</t>
  </si>
  <si>
    <t>Network</t>
  </si>
  <si>
    <t>Home Wi-Fi network</t>
  </si>
  <si>
    <t>Landlord-provided; password shared with roommates; router admin access unknown</t>
  </si>
  <si>
    <t>Low</t>
  </si>
  <si>
    <t>Third party</t>
  </si>
  <si>
    <t>A-F01</t>
  </si>
  <si>
    <t>Account</t>
  </si>
  <si>
    <t>Financial</t>
  </si>
  <si>
    <t>Primary US bank</t>
  </si>
  <si>
    <t>Checking and savings; main US banking</t>
  </si>
  <si>
    <t>A-F02</t>
  </si>
  <si>
    <t>International transfer service</t>
  </si>
  <si>
    <t>JP &lt;-&gt; US transfers; stores bank details in both countries</t>
  </si>
  <si>
    <t>A-F03</t>
  </si>
  <si>
    <t>Credit card portal (x1)</t>
  </si>
  <si>
    <t>US-issued credit card</t>
  </si>
  <si>
    <t>A-F04</t>
  </si>
  <si>
    <t>Debit card portals (x4)</t>
  </si>
  <si>
    <t>US-issued debit cards</t>
  </si>
  <si>
    <t>A-F05</t>
  </si>
  <si>
    <t>Apple Pay</t>
  </si>
  <si>
    <t>Holds all 5 payment cards; depends on a single iPhone</t>
  </si>
  <si>
    <t>F1, F2</t>
  </si>
  <si>
    <t>A-F06</t>
  </si>
  <si>
    <t>P2P payment app</t>
  </si>
  <si>
    <t>Linked to bank account</t>
  </si>
  <si>
    <t>A-F07</t>
  </si>
  <si>
    <t>Bank-integrated transfer service</t>
  </si>
  <si>
    <t>Direct bank-to-bank transfers</t>
  </si>
  <si>
    <t>A-I01</t>
  </si>
  <si>
    <t>Identity &amp; Email</t>
  </si>
  <si>
    <t>Gmail (primary)</t>
  </si>
  <si>
    <t>Password-reset destination for most services</t>
  </si>
  <si>
    <t>A-I02</t>
  </si>
  <si>
    <t>Gmail (secondary)</t>
  </si>
  <si>
    <t>Purpose to be reviewed</t>
  </si>
  <si>
    <t>A-I03</t>
  </si>
  <si>
    <t>College email</t>
  </si>
  <si>
    <t>Institution-issued; official academic communication</t>
  </si>
  <si>
    <t>Institution</t>
  </si>
  <si>
    <t>A-I04</t>
  </si>
  <si>
    <t>Outlook account</t>
  </si>
  <si>
    <t>A-I05</t>
  </si>
  <si>
    <t>Apple ID</t>
  </si>
  <si>
    <t>Controls iPhone, iPad, MacBook, iCloud, and Apple Pay</t>
  </si>
  <si>
    <t>A-I06</t>
  </si>
  <si>
    <t>Google Account</t>
  </si>
  <si>
    <t>Tied to primary Gmail; controls Drive, Photos, YouTube</t>
  </si>
  <si>
    <t>A-I07</t>
  </si>
  <si>
    <t>Microsoft 365 (institution-provided)</t>
  </si>
  <si>
    <t>Managed by the college, not by me</t>
  </si>
  <si>
    <t>A-E01</t>
  </si>
  <si>
    <t>Education &amp; Learning</t>
  </si>
  <si>
    <t>College student portal</t>
  </si>
  <si>
    <t>Grades, enrollment, financial aid, transcripts</t>
  </si>
  <si>
    <t>A-E02</t>
  </si>
  <si>
    <t>Learning management system</t>
  </si>
  <si>
    <t>Coursework and submissions</t>
  </si>
  <si>
    <t>A-E03</t>
  </si>
  <si>
    <t>English proficiency test account</t>
  </si>
  <si>
    <t>Official test scores and score reporting</t>
  </si>
  <si>
    <t>A-E04</t>
  </si>
  <si>
    <t>Programming learning platform</t>
  </si>
  <si>
    <t>Beginner coding courses</t>
  </si>
  <si>
    <t>A-E05</t>
  </si>
  <si>
    <t>TryHackMe</t>
  </si>
  <si>
    <t>Security learning progress</t>
  </si>
  <si>
    <t>A-E06</t>
  </si>
  <si>
    <t>Language learning app</t>
  </si>
  <si>
    <t>Casual practice</t>
  </si>
  <si>
    <t>A-E07</t>
  </si>
  <si>
    <t>ChatGPT</t>
  </si>
  <si>
    <t>Conversation history may contain personal context</t>
  </si>
  <si>
    <t>A-E08</t>
  </si>
  <si>
    <t>Claude</t>
  </si>
  <si>
    <t>Conversations include career strategy, resume drafts, project planning</t>
  </si>
  <si>
    <t>A-E09</t>
  </si>
  <si>
    <t>Gemini</t>
  </si>
  <si>
    <t>Limited usage</t>
  </si>
  <si>
    <t>A-E10</t>
  </si>
  <si>
    <t>Notion (account)</t>
  </si>
  <si>
    <t>Study notes; may contain career information</t>
  </si>
  <si>
    <t>A-J01</t>
  </si>
  <si>
    <t>Job Hunting &amp; Professional</t>
  </si>
  <si>
    <t>Job platform A (JP / bilingual)</t>
  </si>
  <si>
    <t>Resume, personal information, applications</t>
  </si>
  <si>
    <t>A-J02</t>
  </si>
  <si>
    <t>Job platform B (JP)</t>
  </si>
  <si>
    <t>Profile with career information</t>
  </si>
  <si>
    <t>A-J03</t>
  </si>
  <si>
    <t>Internship platform A</t>
  </si>
  <si>
    <t>Application platform</t>
  </si>
  <si>
    <t>A-J04</t>
  </si>
  <si>
    <t>Internship platform B</t>
  </si>
  <si>
    <t>A-J05</t>
  </si>
  <si>
    <t>LinkedIn</t>
  </si>
  <si>
    <t>Public professional identity; US and JP networks</t>
  </si>
  <si>
    <t>A-J06</t>
  </si>
  <si>
    <t>GitHub</t>
  </si>
  <si>
    <t>Hosts this project; future portfolio</t>
  </si>
  <si>
    <t>A-J07</t>
  </si>
  <si>
    <t>Zoom</t>
  </si>
  <si>
    <t>Interview meetings; possible recording history</t>
  </si>
  <si>
    <t>A-S01</t>
  </si>
  <si>
    <t>Social Media</t>
  </si>
  <si>
    <t>X (Twitter)</t>
  </si>
  <si>
    <t>Public identity; direct messages</t>
  </si>
  <si>
    <t>A-S02</t>
  </si>
  <si>
    <t>Instagram</t>
  </si>
  <si>
    <t>Photos, direct messages, stories</t>
  </si>
  <si>
    <t>A-S03</t>
  </si>
  <si>
    <t>Facebook</t>
  </si>
  <si>
    <t>Legacy account; rarely used</t>
  </si>
  <si>
    <t>A-S04</t>
  </si>
  <si>
    <t>LINE</t>
  </si>
  <si>
    <t>Primary JP communication (family, friends); linked to phone number</t>
  </si>
  <si>
    <t>A-S05</t>
  </si>
  <si>
    <t>TikTok</t>
  </si>
  <si>
    <t>Consumption only</t>
  </si>
  <si>
    <t>A-S06</t>
  </si>
  <si>
    <t>YouTube</t>
  </si>
  <si>
    <t>Accessed through Google Account (A-I06)</t>
  </si>
  <si>
    <t>A-U01</t>
  </si>
  <si>
    <t>Utilities &amp; Life Services</t>
  </si>
  <si>
    <t>Mobile carrier account</t>
  </si>
  <si>
    <t>Controls the phone number -&gt; SMS 2FA foundation; SIM-swap target</t>
  </si>
  <si>
    <t>F1, F3</t>
  </si>
  <si>
    <t>A-U02</t>
  </si>
  <si>
    <t>Student health insurance</t>
  </si>
  <si>
    <t>School-provided</t>
  </si>
  <si>
    <t>A-X01</t>
  </si>
  <si>
    <t>Entertainment &amp; Shopping</t>
  </si>
  <si>
    <t>Amazon</t>
  </si>
  <si>
    <t>Purchase history, saved addresses, saved payment cards</t>
  </si>
  <si>
    <t>D-L01</t>
  </si>
  <si>
    <t>Data</t>
  </si>
  <si>
    <t>Local (MacBook)</t>
  </si>
  <si>
    <t>Job-hunting materials</t>
  </si>
  <si>
    <t>Resumes, application essays, motivation letters (multiple versions)</t>
  </si>
  <si>
    <t>D-L02</t>
  </si>
  <si>
    <t>Client project materials</t>
  </si>
  <si>
    <t>Proposal and prototype code for an external project</t>
  </si>
  <si>
    <t>D-L03</t>
  </si>
  <si>
    <t>Academic files</t>
  </si>
  <si>
    <t>Coursework, notes, textbook PDFs</t>
  </si>
  <si>
    <t>D-L04</t>
  </si>
  <si>
    <t>Personal ID scans</t>
  </si>
  <si>
    <t>Passport, visa, and SSN-related documents</t>
  </si>
  <si>
    <t>D-L05</t>
  </si>
  <si>
    <t>Financial documents</t>
  </si>
  <si>
    <t>Tax documents, bank statements</t>
  </si>
  <si>
    <t>D-L06</t>
  </si>
  <si>
    <t>Development code</t>
  </si>
  <si>
    <t>AI-assisted coding outputs, learning artifacts</t>
  </si>
  <si>
    <t>D-C01</t>
  </si>
  <si>
    <t>Cloud Storage</t>
  </si>
  <si>
    <t>iCloud Photos</t>
  </si>
  <si>
    <t>Family and personal photos</t>
  </si>
  <si>
    <t>D-C02</t>
  </si>
  <si>
    <t>iCloud Drive files</t>
  </si>
  <si>
    <t>File-level inventory pending</t>
  </si>
  <si>
    <t>D-C03</t>
  </si>
  <si>
    <t>Google Drive files</t>
  </si>
  <si>
    <t>D-C04</t>
  </si>
  <si>
    <t>Video files</t>
  </si>
  <si>
    <t>Personal video content</t>
  </si>
  <si>
    <t>D-K01</t>
  </si>
  <si>
    <t>Knowledge Base</t>
  </si>
  <si>
    <t>Obsidian career vault</t>
  </si>
  <si>
    <t>Core career strategy notes; local only — no version control, no cloud sync</t>
  </si>
  <si>
    <t>D-K02</t>
  </si>
  <si>
    <t>Notion workspace (data)</t>
  </si>
  <si>
    <t>Daily log, job-hunting notes, target company list, interview records</t>
  </si>
  <si>
    <t>D-P01</t>
  </si>
  <si>
    <t>Physical</t>
  </si>
  <si>
    <t>Passport</t>
  </si>
  <si>
    <t>At home, secure storage</t>
  </si>
  <si>
    <t>D-P02</t>
  </si>
  <si>
    <t>Student status document (immigration)</t>
  </si>
  <si>
    <t>D-P03</t>
  </si>
  <si>
    <t>SSN-related documents</t>
  </si>
  <si>
    <t>D-P04</t>
  </si>
  <si>
    <t>Physical credit/debit cards</t>
  </si>
  <si>
    <t>At home, rarely carried; Apple Pay used instead</t>
  </si>
  <si>
    <t>D-P05</t>
  </si>
  <si>
    <t>Student ID</t>
  </si>
  <si>
    <t>At home or carried occasionally</t>
  </si>
  <si>
    <t>Detect (DE) Assessment — NIST CSF 2.0 (asset x subcategory matrix)</t>
  </si>
  <si>
    <t>DE.CM-01
Network monitoring</t>
  </si>
  <si>
    <t>DE.CM-02
Physical monitoring</t>
  </si>
  <si>
    <t>DE.CM-03
Account activity</t>
  </si>
  <si>
    <t>DE.CM-06
Provider alerts</t>
  </si>
  <si>
    <t>DE.CM-09
Device / data integrity</t>
  </si>
  <si>
    <t>CM-01: Outbound connection monitoring on the laptop (e.g., LuLu / Little Snitch)
CM-02: Find My Mac enabled; loss would be noticed quickly
CM-09: Malware protection (XProtect updates); login items &amp; profiles reviewed
AE-04: Can I list what is affected if this device is lost?
AE-08: Criteria for declaring loss / theft an incident</t>
  </si>
  <si>
    <t>CM-01: Outbound firewall alerts on new connections
CM-02: Find My Mac ON; Activation Lock active
CM-09: Security updates auto-installed; login items reviewed monthly
AE-04: Dependency list maintained
AE-08: Defined trigger (e.g., missing &gt; 30 min -&gt; Mark as Lost)</t>
  </si>
  <si>
    <t>DE-002, DE-005, DE-024</t>
  </si>
  <si>
    <t>CM-01: Unknown VPN / DNS profiles and Wi-Fi security warnings noticed
CM-02: Find My enabled; "Notify When Left Behind" configured
CM-09: Unknown configuration profiles; Safety Check results
AE-04: Can I quickly list what is affected if the iPhone is lost (2FA, cards, accounts)?
AE-06: Alerts still reach me if the iPhone is lost / stolen
AE-08: Criteria for declaring a lost / stolen iPhone an incident</t>
  </si>
  <si>
    <t>CM-01: VPN &amp; DNS settings checked monthly; Wi-Fi warnings not ignored
CM-02: Find My ON; left-behind alerts ON (paired with Mac / iPad)
CM-09: No unknown profiles; Safety Check run quarterly
AE-04: Dependency list of iPhone-bound accounts / cards maintained
AE-06: Secondary alert channel (laptop / email) available
AE-08: Defined trigger (e.g., missing &gt; 30 min -&gt; Mark as Lost)</t>
  </si>
  <si>
    <t>DE-003, DE-004, DE-025, DE-033, DE-035, DE-039</t>
  </si>
  <si>
    <t>CM-01: Unusual network settings (VPN / DNS profiles, unknown networks) noticed
CM-02: Find My enabled; loss would be noticed quickly
CM-09: Unknown profiles / outdated iPadOS noticed
AE-04: Can I list what is affected if this device is lost?
AE-08: Criteria for declaring loss / theft an incident</t>
  </si>
  <si>
    <t>CM-01: Settings checked monthly; Wi-Fi warnings not ignored
CM-02: Find My ON; left-behind alerts ON
CM-09: No unknown profiles; update status checked monthly
AE-04: Dependency list maintained
AE-08: Defined trigger (e.g., missing &gt; 30 min -&gt; Mark as Lost)</t>
  </si>
  <si>
    <t>DE-026</t>
  </si>
  <si>
    <t>CM-09: Unexpected loss of service / eSIM change would be noticed
AE-03: Loss of service correlated with password-reset emails / alerts
AE-04: Can I list which accounts rely on SMS 2FA?</t>
  </si>
  <si>
    <t>CM-09: Loss of service treated as a possible SIM-swap signal
AE-03: Known correlation patterns documented
AE-04: SMS-2FA account list maintained</t>
  </si>
  <si>
    <t>CM-01: Visibility of devices connected to the home network</t>
  </si>
  <si>
    <t>CM-01: Able to list connected devices, or documented as unmonitored (accepted risk)</t>
  </si>
  <si>
    <t>DE-001</t>
  </si>
  <si>
    <t>CM-03: Login / new-device alerts enabled
CM-06: Bank transaction and login alerts configured
AE-02: Process to verify a suspicious transaction or "bank" call
AE-08: Criteria for reporting suspected fraud to the bank</t>
  </si>
  <si>
    <t>CM-03: Login alerts ON
CM-06: Real-time alerts for all transactions and logins
AE-02: Always call back via number on card / official app
AE-08: Defined trigger and contact method documented</t>
  </si>
  <si>
    <t>Transaction alerts are enabled, but login alerts are disabled. A clear process exists for when to contact the bank about suspected fraud or unauthorized activity.</t>
  </si>
  <si>
    <t>Unauthorized account access may not be detected quickly if login alerts are disabled.</t>
  </si>
  <si>
    <t>User confirmed transaction alerts are ON, login alerts are OFF, and a fraud-reporting process is defined.</t>
  </si>
  <si>
    <t>Enable login alerts if the bank supports them and keep transaction alerts enabled</t>
  </si>
  <si>
    <t>DE-016, DE-030, DE-040</t>
  </si>
  <si>
    <t>[DE-030] Text says a clear fraud-reporting process exists -&gt; AE-02 looks Implemented (AE-08 likely too). Transaction alerts ON / login alerts OFF belongs to CM-06 (transaction and login alerts) -&gt; suggested Partial.</t>
  </si>
  <si>
    <t>CM-03: Login / new-device alerts enabled
CM-06: International transfer / recipient-change notifications
AE-02: Process to verify a suspicious transaction or contact
AE-08: Criteria for reporting suspected fraud</t>
  </si>
  <si>
    <t>CM-03: Login alerts ON
CM-06: Alerts for every transfer and recipient change
AE-02: Always call back via official number / app
AE-08: Defined trigger and contact method documented</t>
  </si>
  <si>
    <t>DE-017</t>
  </si>
  <si>
    <t>CM-03: Login / new-device alerts enabled
CM-06: Credit card transaction alerts configured
AE-02: Process to verify a suspicious transaction or contact
AE-08: Criteria for reporting suspected fraud</t>
  </si>
  <si>
    <t>CM-03: Login alerts ON
CM-06: Real-time alerts for every charge
AE-02: Always call back via official number / app
AE-08: Defined trigger and contact method documented</t>
  </si>
  <si>
    <t>DE-018</t>
  </si>
  <si>
    <t>CM-03: Login / new-device alerts enabled
CM-06: Debit card transaction alerts (all 4 cards)
AE-02: Process to verify a suspicious transaction or contact
AE-08: Criteria for reporting suspected fraud</t>
  </si>
  <si>
    <t>CM-03: Login alerts ON
CM-06: Real-time alerts on every debit card
AE-02: Always call back via official number / app
AE-08: Defined trigger and contact method documented</t>
  </si>
  <si>
    <t>DE-019</t>
  </si>
  <si>
    <t>CM-06: Apple Pay / Wallet transaction notifications</t>
  </si>
  <si>
    <t>CM-06: Wallet notifications ON for all cards</t>
  </si>
  <si>
    <t>F1</t>
  </si>
  <si>
    <t>DE-020</t>
  </si>
  <si>
    <t>CM-03: Login / new-device alerts enabled
CM-06: P2P payment app notifications for sends / receives / linked-bank changes
AE-02: Process to verify a suspicious transaction or contact
AE-08: Criteria for reporting suspected fraud</t>
  </si>
  <si>
    <t>CM-03: Login alerts ON
CM-06: All payment and account-change notifications ON
AE-02: Always call back via official number / app
AE-08: Defined trigger and contact method documented</t>
  </si>
  <si>
    <t>DE-021</t>
  </si>
  <si>
    <t>CM-03: Login / new-device alerts enabled
CM-06: Transaction and account-change alerts configured
AE-02: Process to verify a suspicious transaction or contact
AE-08: Criteria for reporting suspected fraud</t>
  </si>
  <si>
    <t>CM-03: Login alerts ON
CM-06: Real-time alerts for every transaction and account change
AE-02: Always call back via official number / app
AE-08: Defined trigger and contact method documented</t>
  </si>
  <si>
    <t>CM-03: Gmail forwarding rules, filters, and delegated access checked
AE-02: Process to verify suspicious emails / alerts before acting
AE-07: Breach monitoring for email addresses (HIBP / password manager breach report)
AE-08: Criteria for treating unexpected sign-in / password change as account takeover</t>
  </si>
  <si>
    <t>CM-03: No unknown forwarding / filters; checked monthly
AE-02: Written triage checklist (verify via official app, never via link)
AE-07: Breach notifications subscribed for all addresses
AE-08: Defined trigger and recovery steps documented</t>
  </si>
  <si>
    <t>Gmail forwarding rules, filters, and delegated access were reviewed and no suspicious settings were identified. However, there is no defined process for verifying suspicious emails, and security-alert emails are not reviewed regularly.</t>
  </si>
  <si>
    <t>Suspicious emails or security events may not be identified or verified quickly, increasing the risk of phishing or delayed response to account compromise.</t>
  </si>
  <si>
    <t>User confirmed no suspicious forwarding, filters, or delegated access, but no standard suspicious-email verification process and no regular security-alert review habit.</t>
  </si>
  <si>
    <t>Create a simple suspicious-email verification process and review security alerts regularly.</t>
  </si>
  <si>
    <t>DE-010, DE-029, DE-037</t>
  </si>
  <si>
    <t>[DE-010] Forwarding / filters / delegation reviewed with no issues fits CM-03. The missing suspicious-email process belongs to AE-02 (suggested: Not Implemented).</t>
  </si>
  <si>
    <t>CM-03: Sign-in activity on the secondary (dormant) Gmail monitored
AE-02: Process to verify suspicious emails / alerts before acting
AE-07: Breach monitoring for this address (password manager / HIBP)
AE-08: Criteria for treating unexpected sign-in / password change as account takeover</t>
  </si>
  <si>
    <t>CM-03: Recovery set to primary; activity checked or account retired
AE-02: Verify via official app, never via link
AE-07: Breach notifications subscribed
AE-08: Defined trigger and recovery steps documented</t>
  </si>
  <si>
    <t>DE-011</t>
  </si>
  <si>
    <t>CM-03: Login / new-device alerts enabled and recent security activity reviewed
AE-02: Process to verify suspicious emails / alerts before acting
AE-06: College IT security notices are received and read
AE-07: Breach monitoring for this address (password manager / HIBP)
AE-08: Criteria for treating unexpected sign-in / password change as account takeover</t>
  </si>
  <si>
    <t>CM-03: Alerts reviewed; security checkup quarterly
AE-02: Verify via official app, never via link
AE-06: Institution notices filtered to a watched label
AE-07: Breach notifications subscribed
AE-08: Defined trigger and recovery steps documented</t>
  </si>
  <si>
    <t>DE-036</t>
  </si>
  <si>
    <t>CM-03: Login / new-device alerts enabled and recent security activity reviewed
AE-02: Process to verify suspicious emails / alerts before acting
AE-07: Breach monitoring for this address (password manager / HIBP)
AE-08: Criteria for treating unexpected sign-in / password change as account takeover</t>
  </si>
  <si>
    <t>CM-03: Alerts reviewed; security checkup quarterly
AE-02: Verify via official app, never via link
AE-07: Breach notifications subscribed
AE-08: Defined trigger and recovery steps documented</t>
  </si>
  <si>
    <t>CM-03: Apple ID sign-in notifications and trusted device list checked
AE-02: Process to verify suspicious emails / alerts before acting
AE-03: Correlating Apple ID alerts with device events (unexpected sign-in + Find My change)
AE-07: Breach monitoring for this address (password manager / HIBP)
AE-08: Criteria for treating unexpected sign-in / password change as account takeover</t>
  </si>
  <si>
    <t>CM-03: New-sign-in alerts reviewed; device list checked monthly
AE-02: Verify via official app, never via link
AE-03: Known correlation patterns documented
AE-07: Breach notifications subscribed
AE-08: Defined trigger and recovery steps documented</t>
  </si>
  <si>
    <t>The Apple ID device list was reviewed and all signed-in devices were recognized as the user's own devices. Regular review of Apple sign-in notifications has not yet been confirmed.</t>
  </si>
  <si>
    <t>Unauthorized sign-ins or newly added devices may not be detected quickly if security notifications are not reviewed regularly.</t>
  </si>
  <si>
    <t>Device list reviewed; all devices were recognized as user-owned. Regular review of sign-in alerts has not been confirmed.</t>
  </si>
  <si>
    <t>Review Apple sign-in notifications and the trusted device list regularly, such as once per month.</t>
  </si>
  <si>
    <t>DE-008, DE-032, DE-041</t>
  </si>
  <si>
    <t>[DE-041] Text describes device-list review and sign-in notification review, which is CM-03 evidence (suggested: Partial). The AE-08 question (criteria for declaring takeover) is not addressed yet.</t>
  </si>
  <si>
    <t>CM-03: Google security alerts and "Recent security activity" reviewed
AE-02: Process to verify suspicious emails / alerts before acting
AE-07: Breach monitoring for this address (password manager / HIBP)
AE-08: Criteria for treating unexpected sign-in / password change as account takeover</t>
  </si>
  <si>
    <t>CM-03: Alerts reviewed; Security Checkup quarterly
AE-02: Verify via official app, never via link
AE-07: Breach notifications subscribed
AE-08: Defined trigger and recovery steps documented</t>
  </si>
  <si>
    <t>No unknown sign-ins or unrecognized devices were identified. However, security alerts and recent security activity are not reviewed regularly.</t>
  </si>
  <si>
    <t>Suspicious account activity may not be detected promptly if security alerts are not reviewed.</t>
  </si>
  <si>
    <t>No unknown logins or devices were identified, but there is no regular security-alert review habit</t>
  </si>
  <si>
    <t>Review Google Security Checkup and recent security activity regularly</t>
  </si>
  <si>
    <t>DE-009</t>
  </si>
  <si>
    <t>CM-03: Login / new-device alerts enabled and active sessions reviewed
AE-07: Breach monitoring covers this account (password manager / HIBP)</t>
  </si>
  <si>
    <t>CM-03: Login alerts ON; sessions reviewed quarterly
AE-07: Breach alerts ON for the login email</t>
  </si>
  <si>
    <t>CM-03: LinkedIn active sessions / login notifications
AE-07: Breach monitoring covers this account (password manager / HIBP)</t>
  </si>
  <si>
    <t>DE-013</t>
  </si>
  <si>
    <t>CM-03: GitHub security log and active sessions reviewed
CM-09: Dependabot / secret-scanning alerts on repositories
AE-07: Breach monitoring covers this account (password manager / HIBP)</t>
  </si>
  <si>
    <t>CM-03: Security log reviewed monthly
CM-09: Secret scanning + Dependabot alerts ON for all repos
AE-07: Breach alerts ON for the login email</t>
  </si>
  <si>
    <t>DE-012, DE-028</t>
  </si>
  <si>
    <t>CM-03: LINE login notifications and logged-in devices
AE-07: Breach monitoring covers this account (password manager / HIBP)</t>
  </si>
  <si>
    <t>CM-03: Login alerts ON; unknown devices logged out
AE-07: Breach alerts ON for the login email</t>
  </si>
  <si>
    <t>DE-014</t>
  </si>
  <si>
    <t>CM-03: Unexpected activity on the channel / account noticed</t>
  </si>
  <si>
    <t>CM-03: Covered by Google Account alerts</t>
  </si>
  <si>
    <t>CM-03: Login / new-device alerts enabled and active sessions reviewed
CM-06: Carrier alerts for SIM change / port-out / account changes
AE-03: Correlating signals (phone loses service + reset emails = possible SIM swap)
AE-04: Can I list which accounts rely on SMS 2FA if the number is hijacked?
AE-07: Breach monitoring covers this account (password manager / HIBP)</t>
  </si>
  <si>
    <t>CM-03: Login alerts ON; sessions reviewed quarterly
CM-06: SIM change &amp; port-out alerts delivered via non-SMS channel
AE-03: Known correlation patterns documented
AE-04: SMS-2FA account list maintained (see 01 carry-over)
AE-07: Breach alerts ON for the login email</t>
  </si>
  <si>
    <t>DE-022, DE-031, DE-034</t>
  </si>
  <si>
    <t>CM-09: Unintended change / deletion would be noticed</t>
  </si>
  <si>
    <t>CM-09: Version history or backup diff available</t>
  </si>
  <si>
    <t>CM-03: Sharing and access activity reviewed
CM-09: Unintended change / deletion would be noticed</t>
  </si>
  <si>
    <t>CM-03: Shared-item activity reviewed quarterly
CM-09: Version history / recently deleted checked</t>
  </si>
  <si>
    <t>CM-09: Ability to detect unintended changes / deletion in the vault</t>
  </si>
  <si>
    <t>CM-09: Git history or backup diff available</t>
  </si>
  <si>
    <t>DE-027</t>
  </si>
  <si>
    <t>CM-02: Periodic check that passport / immigration documents are where expected
AE-07: Awareness of identity-theft indicators related to this document</t>
  </si>
  <si>
    <t>CM-02: Presence checked monthly and before travel
AE-07: Monitoring sources identified</t>
  </si>
  <si>
    <t>DE-006</t>
  </si>
  <si>
    <t>CM-02: Periodic check that the document is where expected
AE-07: Awareness of identity-theft indicators related to this document</t>
  </si>
  <si>
    <t>CM-02: Periodic check that the document is where expected
CM-06: Credit report monitoring / credit freeze status (SSN)
AE-07: Awareness of identity-theft indicators related to this document</t>
  </si>
  <si>
    <t>CM-02: Presence checked monthly and before travel
CM-06: Credit frozen at 3 bureaus; monitoring alerts ON
AE-07: Monitoring sources identified</t>
  </si>
  <si>
    <t>DE-023</t>
  </si>
  <si>
    <t>CM-02: Periodic check that physical cards are all present</t>
  </si>
  <si>
    <t>CM-02: Card presence checked monthly</t>
  </si>
  <si>
    <t>DE-007</t>
  </si>
  <si>
    <t>Gap Summary — auto-calculated</t>
  </si>
  <si>
    <t>All numbers are formulas over the Protect / Detect matrices and Asset Register. Do not edit.</t>
  </si>
  <si>
    <t>1. Overview by Function (counted per asset x subcategory cell)</t>
  </si>
  <si>
    <t>Scope</t>
  </si>
  <si>
    <t>Applicable</t>
  </si>
  <si>
    <t>Implemented</t>
  </si>
  <si>
    <t>Not Implemented</t>
  </si>
  <si>
    <t>Unassessed (??)</t>
  </si>
  <si>
    <t>Gap</t>
  </si>
  <si>
    <t>Assessed %</t>
  </si>
  <si>
    <t>Coverage %</t>
  </si>
  <si>
    <t>Protect (PR)</t>
  </si>
  <si>
    <t>All Protect cells</t>
  </si>
  <si>
    <t>Detect (DE)</t>
  </si>
  <si>
    <t>All Detect cells</t>
  </si>
  <si>
    <t>TOTAL</t>
  </si>
  <si>
    <t>Protect + Detect</t>
  </si>
  <si>
    <t>2. Status by CSF Subcategory</t>
  </si>
  <si>
    <t>PR.AA-01</t>
  </si>
  <si>
    <t>Credentials — Identities and credentials for authorized users, services, and hardware are managed by the organization</t>
  </si>
  <si>
    <t>PR.AA-03</t>
  </si>
  <si>
    <t>Authentication — Users, services, and hardware are authenticated</t>
  </si>
  <si>
    <t>PR.AA-05</t>
  </si>
  <si>
    <t>Access review — Access permissions, entitlements, and authorizations are defined in a policy, managed, enforced, and reviewed, and incorporate the principles of least privilege and separation of duties</t>
  </si>
  <si>
    <t>PR.DS-01</t>
  </si>
  <si>
    <t>Data at rest — The confidentiality, integrity, and availability of data-at-rest are protected</t>
  </si>
  <si>
    <t>PR.DS-02</t>
  </si>
  <si>
    <t>Data in transit — The confidentiality, integrity, and availability of data-in-transit are protected</t>
  </si>
  <si>
    <t>PR.DS-11</t>
  </si>
  <si>
    <t>Backup — Backups of data are created, protected, maintained, and tested</t>
  </si>
  <si>
    <t>PR.PS-01</t>
  </si>
  <si>
    <t>Configuration — Configuration management practices are established and applied</t>
  </si>
  <si>
    <t>PR.IR-01</t>
  </si>
  <si>
    <t>Network protection — Networks and environments are protected from unauthorized logical access and usage</t>
  </si>
  <si>
    <t>DE.CM-01</t>
  </si>
  <si>
    <t>Network monitoring — Networks and network services are monitored to find potentially adverse events</t>
  </si>
  <si>
    <t>DE.CM-02</t>
  </si>
  <si>
    <t>Physical monitoring — The physical environment is monitored to find potentially adverse events</t>
  </si>
  <si>
    <t>DE.CM-03</t>
  </si>
  <si>
    <t>Account activity — Personnel activity and technology usage are monitored to find potentially adverse events</t>
  </si>
  <si>
    <t>DE.CM-06</t>
  </si>
  <si>
    <t>Provider alerts — External service provider activities and services are monitored to find potentially adverse events</t>
  </si>
  <si>
    <t>DE.CM-09</t>
  </si>
  <si>
    <t>Device / data integrity — Computing hardware and software, runtime environments, and their data are monitored to find potentially adverse events</t>
  </si>
  <si>
    <t>DE.AE-02</t>
  </si>
  <si>
    <t>Triage — Potentially adverse events are analyzed to better understand associated activities</t>
  </si>
  <si>
    <t>DE.AE-03</t>
  </si>
  <si>
    <t>Correlation — Information is correlated from multiple sources</t>
  </si>
  <si>
    <t>DE.AE-04</t>
  </si>
  <si>
    <t>Impact scope — The estimated impact and scope of adverse events are understood</t>
  </si>
  <si>
    <t>DE.AE-06</t>
  </si>
  <si>
    <t>Alert delivery — Information on adverse events is provided to authorized staff and tools</t>
  </si>
  <si>
    <t>DE.AE-07</t>
  </si>
  <si>
    <t>Threat intel — Cyber threat intelligence and other contextual information are integrated into the analysis</t>
  </si>
  <si>
    <t>DE.AE-08</t>
  </si>
  <si>
    <t>Incident criteria — Incidents are declared when adverse events meet the defined incident criteria</t>
  </si>
  <si>
    <t>3. Assets by Priority</t>
  </si>
  <si>
    <t>Assets</t>
  </si>
  <si>
    <t>Fully assessed</t>
  </si>
  <si>
    <t>With gap</t>
  </si>
  <si>
    <t>Unassessed cells</t>
  </si>
  <si>
    <t>Fully assessed %</t>
  </si>
  <si>
    <t>Protect</t>
  </si>
  <si>
    <t>Detect</t>
  </si>
  <si>
    <t>Fully assessed = no ?? left in the row (N/A-only rows count as fully assessed).</t>
  </si>
  <si>
    <t>4. Asset Register — Distribution (Layer x Priority)</t>
  </si>
  <si>
    <t>Total</t>
  </si>
  <si>
    <t>Guide — how to read and fill the v2 matrix</t>
  </si>
  <si>
    <t>Migrated from 02-current-state-assessment.xlsx (asset x subcategory rows) on build.</t>
  </si>
  <si>
    <t>1. Status definitions</t>
  </si>
  <si>
    <t>Every element of this subcategory's Target State is in place AND was confirmed by actually checking the setting / screen.</t>
  </si>
  <si>
    <t>Some elements are in place, or in place but not reviewed regularly / not verified.</t>
  </si>
  <si>
    <t>None of the Target State elements are in place.</t>
  </si>
  <si>
    <t>Subcategory does not apply to this asset (pre-set from the scope rules below). If you change a cell to / from N/A, write why in Evidence / Notes.</t>
  </si>
  <si>
    <t>Applicable but not assessed yet.</t>
  </si>
  <si>
    <t>2. Formulas</t>
  </si>
  <si>
    <t>Over assessed cells only: all Implemented -&gt; Implemented; all Not Implemented -&gt; Not Implemented; otherwise Partial. ?? if nothing assessed yet.</t>
  </si>
  <si>
    <t>Assessed / Remaining</t>
  </si>
  <si>
    <t>Number of applicable cells with a status / still ??.</t>
  </si>
  <si>
    <t>Number of cells that are Partial or Not Implemented.</t>
  </si>
  <si>
    <t>Coverage % (Gap Summary)</t>
  </si>
  <si>
    <t>(Implemented + 0.5 x Partial) / assessed cells.</t>
  </si>
  <si>
    <t>3. Scope rules</t>
  </si>
  <si>
    <t>device</t>
  </si>
  <si>
    <t>MacBook / iPhone / iPad
  Protect: PR.AA-03, PR.DS-01, PR.DS-02, PR.DS-11, PR.PS-01, PR.IR-01
  Detect: DE.CM-01, DE.CM-02, DE.CM-09, DE.AE-04, DE.AE-08</t>
  </si>
  <si>
    <t>esim</t>
  </si>
  <si>
    <t>eSIM profile
  Protect: PR.AA-03, PR.PS-01
  Detect: DE.CM-09, DE.AE-03, DE.AE-04</t>
  </si>
  <si>
    <t>network</t>
  </si>
  <si>
    <t>Home Wi-Fi
  Protect: PR.AA-01, PR.AA-05, PR.DS-02, PR.PS-01, PR.IR-01
  Detect: DE.CM-01</t>
  </si>
  <si>
    <t>account</t>
  </si>
  <si>
    <t>Accounts (Detect: Education / Job / Social / Utilities / Shopping)
  Protect: PR.AA-01, PR.AA-03, PR.AA-05
  Detect: DE.CM-03, DE.AE-07</t>
  </si>
  <si>
    <t>financial</t>
  </si>
  <si>
    <t>Financial accounts (Detect only)
  Protect: -
  Detect: DE.CM-03, DE.CM-06, DE.AE-02, DE.AE-08</t>
  </si>
  <si>
    <t>identity</t>
  </si>
  <si>
    <t>Identity &amp; Email accounts (Detect only)
  Protect: -
  Detect: DE.CM-03, DE.AE-02, DE.AE-07, DE.AE-08</t>
  </si>
  <si>
    <t>wallet</t>
  </si>
  <si>
    <t>Apple Pay (uses Apple ID + device credentials)
  Protect: PR.AA-03, PR.AA-05
  Detect: DE.CM-06</t>
  </si>
  <si>
    <t>inherited</t>
  </si>
  <si>
    <t>YouTube (credentials covered by Google Account)
  Protect: PR.AA-05
  Detect: DE.CM-03</t>
  </si>
  <si>
    <t>local</t>
  </si>
  <si>
    <t>Local data on MacBook
  Protect: PR.DS-01, PR.DS-02, PR.DS-11
  Detect: DE.CM-09</t>
  </si>
  <si>
    <t>cloud</t>
  </si>
  <si>
    <t>Cloud storage data, Notion workspace
  Protect: PR.AA-05, PR.DS-01, PR.DS-11
  Detect: DE.CM-03, DE.CM-09</t>
  </si>
  <si>
    <t>vault</t>
  </si>
  <si>
    <t>Obsidian vault (local only)
  Protect: PR.DS-01, PR.DS-11
  Detect: DE.CM-09</t>
  </si>
  <si>
    <t>physical_id</t>
  </si>
  <si>
    <t>Passport / immigration / SSN documents
  Protect: PR.DS-01, PR.DS-11
  Detect: DE.CM-02, DE.AE-07</t>
  </si>
  <si>
    <t>physical</t>
  </si>
  <si>
    <t>Physical cards, student ID
  Protect: PR.DS-01
  Detect: DE.CM-02</t>
  </si>
  <si>
    <t>Any asset / subcategory pair that had a row in the original workbook is always applicable, in addition to these rules.</t>
  </si>
  <si>
    <t>4. Subcategories</t>
  </si>
  <si>
    <t>Touch ID is enabled and screen lock is set to five minutes or less. The daily-use account has administrator privileges, while Guest User is disabled. FileVault, automatic updates, and the macOS firewall are enabled. File Sharing is disabled. No Mac backup is configured. VPN / Private Relay is not used. FileVault recovery-key storage, Gatekeeper, SIP, and Firewall Stealth Mode have not yet been verified.</t>
  </si>
  <si>
    <t>Daily use with administrator privileges increases the impact of malicious or accidental actions. Lack of backup creates a risk of permanent data loss. Unverified recovery and platform-hardening settings may leave additional security gaps, and no additional encrypted transport is used on untrusted networks.</t>
  </si>
  <si>
    <t>User confirmed Touch ID ON, screen lock within five minutes, daily-use Admin account, Guest User OFF, FileVault ON, automatic updates ON, firewall ON, File Sharing OFF, no backup, and no VPN / Private Relay. FileVault recovery-key storage, Gatekeeper, SIP, and Stealth Mode remain unverified.</t>
  </si>
  <si>
    <t>Use a standard account for daily activity and keep a separate admin account. Configure an encrypted backup and test restoration. Verify FileVault recovery-key storage, Gatekeeper, SIP, and Stealth Mode. Consider encrypted transport on untrusted networks.</t>
  </si>
  <si>
    <t>No outbound connection monitoring tool such as LuLu or Little Snitch is used. Find My Mac is disabled, while Activation Lock is enabled. Login Items and Configuration Profiles are not reviewed regularly. No defined process exists for determining the impact scope of suspicious activity, and no criteria are defined for declaring a security incident</t>
  </si>
  <si>
    <t>Suspicious outbound connections, persistence mechanisms, or unauthorized configuration changes may not be detected promptly. Disabling Find My Mac reduces the ability to locate the device after loss or theft.</t>
  </si>
  <si>
    <t>User confirmed no outbound monitoring, Find My Mac OFF, Activation Lock ON, no regular review of Login Items or Configuration Profiles, no impact-scope procedure, and no defined incident criteria.</t>
  </si>
  <si>
    <t>Enable Find My Mac, consider outbound connection monitoring, review Login Items and Configuration Profiles periodically, and define simple impact-assessment and incident-declaration criteria.</t>
  </si>
  <si>
    <t>The iPhone uses a 6-digit passcode with Face ID, and Stolen Device Protection is enabled. Advanced Data Protection and automatic updates are enabled. iCloud Backup is enabled, but restore testing has not been verified. Control Center is unavailable from the Lock Screen, while USB Accessories settings remain unverified</t>
  </si>
  <si>
    <t>The lack of additional encrypted transport on untrusted networks may leave some network exposure. An untested backup may not provide reliable recovery when needed, and unverified USB accessory settings leave a remaining configuration uncertainty.</t>
  </si>
  <si>
    <t>　User confirmed 6-digit passcode, Face ID, Stolen Device Protection ON, Advanced Data Protection ON, automatic updates ON, iCloud Backup ON, Lock Screen Control Center disabled, public Wi-Fi auto-join OFF, Private Wi-Fi Address ON, and no VPN / Private Relay.</t>
  </si>
  <si>
    <t>Test recovery from iCloud Backup, verify USB Accessories restrictions while locked, and consider encrypted transport such as a trusted VPN or Private Relay on untrusted networks.</t>
  </si>
  <si>
    <t>VPN / DNS settings and Wi-Fi security warnings are not reviewed regularly. Find My iPhone is disabled. No unknown configuration profiles were identified, but Safety Check is not performed regularly. No dependency list or procedure exists for determining the impact of a lost iPhone.</t>
  </si>
  <si>
    <t>Suspicious network configuration or device changes may not be detected promptly. With Find My disabled, the device cannot be easily located or remotely managed after loss. The lack of impact-assessment and incident criteria may delay response to a lost or stolen device.</t>
  </si>
  <si>
    <t>User confirmed no regular VPN / DNS or Wi-Fi security review, Find My iPhone OFF, no unknown configuration profiles, no regular Safety Check, no impact-scope procedure, secondary alert access available, and no incident-declaration criteria.</t>
  </si>
  <si>
    <t>Enable Find My iPhone, review VPN / DNS and Wi-Fi security settings periodically, run Safety Check regularly, maintain a list of iPhone-dependent accounts and cards, and define a clear lost-device incident trigger.</t>
  </si>
  <si>
    <t>The iPad uses a 6-digit or longer passcode with biometric authentication enabled. Automatic updates and Auto-Lock are enabled. iCloud Backup is enabled, but restore testing has not been verified. Control Center is not accessible from the Lock Screen, and Private Wi-Fi Address is enabled.</t>
  </si>
  <si>
    <t>The lack of additional encrypted transport on untrusted networks may leave some network exposure. An untested backup may not provide reliable recovery when needed. Disabling Find My iPad also reduces the ability to locate or remotely manage the device after loss.</t>
  </si>
  <si>
    <t>User confirmed 6+ digit passcode, biometric authentication ON, automatic updates ON, Auto-Lock ON, iCloud Backup ON, Lock Screen Control Center disabled, Private Wi-Fi Address ON, Find My iPad OFF, and no VPN / Private Relay. Restore testing remains unverified.</t>
  </si>
  <si>
    <t>Enable Find My iPad, test recovery from iCloud Backup, and consider using trusted encrypted transport on untrusted networks</t>
  </si>
  <si>
    <t>VPN / DNS settings, unknown Wi-Fi networks, and Wi-Fi security warnings are not reviewed regularly. Find My iPad is disabled. Configuration Profiles and iPadOS update status are not reviewed periodically. No dependency list or procedure exists for determining what data, accounts, or services would be affected if the iPad were lost.</t>
  </si>
  <si>
    <t>Suspicious network or device configuration changes may go unnoticed. With Find My iPad disabled, the device cannot be easily located or remotely managed after loss. The lack of impact-assessment and incident criteria may delay response.</t>
  </si>
  <si>
    <t>User confirmed no regular VPN / DNS or Wi-Fi review, Find My iPad OFF, no periodic Configuration Profile or iPadOS review, no impact-scope procedure, and no defined incident criteria.</t>
  </si>
  <si>
    <t>Enable Find My iPad, review network and configuration settings periodically, maintain a simple list of iPad-dependent data and accounts, and define a clear lost-device incident trigger.</t>
  </si>
  <si>
    <t>SIM PIN is disabled. Additional authentication requirements for eSIM transfer, reissue, or removal have not been verified. No additional phone-number protection has been confirmed.</t>
  </si>
  <si>
    <t>Weak or unverified eSIM transfer protection could make unauthorized number reassignment easier, which may affect SMS-based authentication and account recovery.</t>
  </si>
  <si>
    <t>User confirmed SIM PIN is OFF. Authentication requirements for eSIM transfer or removal remain unverified.</t>
  </si>
  <si>
    <t>Enable SIM PIN if appropriate and verify the carrier and device requirements for eSIM transfer, reissue, and removal. Enable any available transfer or number-lock protection.</t>
  </si>
  <si>
    <t>SIM-change and eSIM-reissue notifications are enabled. However, unexpected loss of service is not currently treated as a possible SIM-swap indicator, and there is no defined process for correlating multiple warning signs such as loss of service and password-reset emails.</t>
  </si>
  <si>
    <t>A SIM-swap attack may not be recognized quickly if warning signs are evaluated separately. Delayed detection could increase the chance of account takeover through SMS-based authentication or recovery.</t>
  </si>
  <si>
    <t>User confirmed SIM-change notifications are ON, no correlation procedure exists for SIM-swap indicators, and SMS-dependent accounts are already known.</t>
  </si>
  <si>
    <t>Document common SIM-swap warning signs and define a simple correlation rule, such as treating unexpected loss of service plus password-reset or login alerts as a potential security incident.</t>
  </si>
  <si>
    <t>The home Wi-Fi uses WPA3, but the Wi-Fi password is weak and shared with other people. The user does not have router administrative access. Router firmware status is unverified, no guest network is available, and network segmentation has not been verified.</t>
  </si>
  <si>
    <t>A weak shared Wi-Fi password may increase the chance of unauthorized network access. Limited router visibility and unverified firmware or segmentation may leave additional network security gaps.</t>
  </si>
  <si>
    <t>User confirmed WPA3, a weak shared Wi-Fi password, no router administrative access, no guest network, and unverified firmware and segmentation.</t>
  </si>
  <si>
    <t>Change the Wi-Fi password to a strong unique passphrase if possible. Treat the network as untrusted, keep endpoint protections enabled, and ask the network owner to verify firmware and segmentation settings.</t>
  </si>
  <si>
    <t>Connected-device visibility has not been verified, and unknown devices are not reviewed regularly.</t>
  </si>
  <si>
    <t>Unauthorized or unfamiliar devices may remain connected without being noticed.</t>
  </si>
  <si>
    <t>User confirmed connected-device visibility is unverified and there is no regular review of connected devices.</t>
  </si>
  <si>
    <t>Determine whether connected devices can be viewed through the router or provider app and review the device list periodically if available.</t>
  </si>
  <si>
    <t>Login and new-device alerts are enabled. Transfer alerts and new-recipient or recipient-change alerts are also enabled. Suspicious messages are verified through official channels, and a response process exists for suspected unauthorized transfers.</t>
  </si>
  <si>
    <t>Detection controls are generally strong, but account compromise could still occur more easily because MFA is not enabled.</t>
  </si>
  <si>
    <t>User confirmed login alerts ON, transfer alerts ON, recipient-change alerts ON, an official-channel verification process, and a suspicious-transfer response procedure.</t>
  </si>
  <si>
    <t>Keep all alerts enabled and add MFA to reduce the chance of unauthorized access before a suspicious transfer occurs.</t>
  </si>
  <si>
    <t>A unique password is used and stored in a password manager. Recovery email and phone information are current. MFA is enabled. Active sessions, connected third-party applications, and shared access have not yet been reviewed.</t>
  </si>
  <si>
    <t>Unreviewed sessions or connected applications may retain unnecessary or unauthorized access to the credit card account.</t>
  </si>
  <si>
    <t>User confirmed a unique password, password manager use, current recovery information, and MFA enabled. Access review remains unverified.</t>
  </si>
  <si>
    <t>Review active sessions, connected applications, and shared access. Remove anything that is no longer needed and periodically repeat the review.</t>
  </si>
  <si>
    <t>Login alerts and credit card transaction alerts are enabled. Suspicious transactions or messages are verified through the official app or official contact number rather than through links contained in emails or text messages. A process exists for responding to suspected fraudulent charges.</t>
  </si>
  <si>
    <t>Detection controls are currently well established. The main remaining risk is delayed response if fraud-reporting criteria or contact information become outdated.</t>
  </si>
  <si>
    <t>User confirmed login alerts ON, transaction alerts ON, official-channel verification for suspicious communications, and an existing suspicious-charge response process.</t>
  </si>
  <si>
    <t>Keep login and transaction alerts enabled and periodically verify the fraud-reporting contact method and response procedure.</t>
  </si>
  <si>
    <t>Apple Pay requires biometric authentication or a device passcode for each payment. Registered cards and devices have been reviewed, and no unnecessary cards or old devices were identified.</t>
  </si>
  <si>
    <t>Current authentication and access controls reduce the risk of unauthorized payments. Remaining risk would mainly arise if an authorized device were compromised or device access controls were weakened.</t>
  </si>
  <si>
    <t>User confirmed that every Apple Pay payment requires Face ID, Touch ID, or a passcode, and that registered cards and devices have been reviewed with no unnecessary entries found.</t>
  </si>
  <si>
    <t>Keep device authentication enabled and periodically review registered cards and devices. Remove any card or device that is no longer in use.</t>
  </si>
  <si>
    <t>Apple Pay / Wallet transaction notifications are enabled for registered cards.</t>
  </si>
  <si>
    <t>Current transaction notifications support timely detection of unauthorized or unexpected payments.</t>
  </si>
  <si>
    <t>User confirmed Apple Pay / Wallet transaction notifications are ON.</t>
  </si>
  <si>
    <t>Keep Wallet transaction notifications enabled and review any unexpected payment immediately</t>
  </si>
  <si>
    <t>The account password is managed with a password manager. Passkey authentication is enabled. Active sessions, connected applications, and shared access have not yet been reviewed. Password reuse and recovery contact status have not yet been verified.</t>
  </si>
  <si>
    <t>Unreviewed sessions or connected applications could retain unnecessary access. If recovery information is outdated or the password is reused elsewhere, account recovery or credential compromise risk may increase.</t>
  </si>
  <si>
    <t>User confirmed that the password is managed with a password manager and passkey authentication is enabled. Active sessions, connected applications, and shared access have not yet been reviewed. Password reuse and recovery contact status remain unverified.</t>
  </si>
  <si>
    <t>Verify that the password is unique, confirm recovery email and phone information, and review active sessions and connected applications.</t>
  </si>
  <si>
    <t>Login and new-device alerts are enabled. Payment, receipt, and linked-bank change notifications are enabled. Suspicious payment requests or communications are verified through official channels.</t>
  </si>
  <si>
    <t>Suspicious activity may be detected, but response could be delayed because no clear fraud-response procedure has been defined.</t>
  </si>
  <si>
    <t>Document a simple response procedure for suspected fraud, including freezing or securing the account, contacting the payment provider, checking linked bank accounts, and changing compromised credentials</t>
  </si>
  <si>
    <t>User confirmed that login and new-device alerts are ON, payment and linked-bank change notifications are ON, suspicious communications are verified through official channels, and no defined fraud-response procedure currently exists.</t>
  </si>
  <si>
    <t>The account password is managed with a password manager, and passkey authentication is enabled. Active sessions, connected third-party applications, and shared access have not yet been reviewed.</t>
  </si>
  <si>
    <t>Unreviewed sessions or connected applications could retain unnecessary access. If the password is reused or recovery information is outdated, account compromise or recovery risk may increase.</t>
  </si>
  <si>
    <t>User confirmed password manager use and passkey authentication. Active sessions, connected applications, shared access, password reuse, and recovery contact status remain unverified.</t>
  </si>
  <si>
    <t>Login and new-device alerts are enabled. Transaction and account-change notifications are also enabled. Suspicious transactions or communications are verified through official channels, and a defined response procedure exists for suspected unauthorized transfers.</t>
  </si>
  <si>
    <t>Detection and response controls are currently well established. Remaining risk mainly depends on keeping alert settings and the response procedure current.</t>
  </si>
  <si>
    <t>User confirmed login and new-device alerts are ON, transaction and account-change notifications are ON, suspicious communications are verified through official channels, and a defined fraud-response procedure exists.</t>
  </si>
  <si>
    <t>Keep all alerts enabled, periodically verify the response procedure, and review any unexpected transaction or account change immediately.</t>
  </si>
  <si>
    <t>The college email uses a unique password, and MFA is enabled with an authenticator app. Active sessions, connected applications, and shared access have not yet been reviewed. Password manager use and recovery contact status remain unverified.</t>
  </si>
  <si>
    <t>Unreviewed sessions or connected applications may retain unnecessary access. If recovery information is outdated, account recovery could be more difficult.</t>
  </si>
  <si>
    <t>User confirmed that the password is not reused and authenticator-app MFA is enabled. Active sessions, connected applications, shared access, password manager use, and recovery contact status remain unverified.</t>
  </si>
  <si>
    <t>Verify recovery email and phone information, confirm secure password storage, and review active sessions and connected applications periodically.</t>
  </si>
  <si>
    <t>Suspicious emails are verified through official college or IT channels rather than links in the message. Login and new-device alert review is unverified. College IT security notices are not regularly reviewed.</t>
  </si>
  <si>
    <t>Security events or institution-issued warnings may not be noticed quickly. Unverified breach monitoring may also delay awareness of exposed credentials.</t>
  </si>
  <si>
    <t>User confirmed official-channel verification for suspicious emails and a defined account-takeover criterion. Login activity review and breach monitoring remain unverified. College IT security notices are not regularly reviewed.</t>
  </si>
  <si>
    <t>Review recent login activity and security alerts regularly, monitor college IT security notices, verify breach monitoring, and maintain the existing account-takeover response procedure</t>
  </si>
  <si>
    <t>The Outlook account credential is managed with a password manager, and passkey authentication is enabled. Active sessions, connected applications, and shared access have not yet been reviewed. Password reuse and recovery contact status remain unverified.</t>
  </si>
  <si>
    <t>Unreviewed sessions or applications could retain unnecessary access. Unverified recovery information or password reuse could increase account-compromise or recovery risk.</t>
  </si>
  <si>
    <t>Login, new-device alerts, and recent security activity are not regularly reviewed. Breach monitoring for the Outlook email address is not currently performed.</t>
  </si>
  <si>
    <t>Unauthorized access or exposed credentials may not be detected quickly because account activity and breach exposure are not regularly monitored.</t>
  </si>
  <si>
    <t>User confirmed that login and security activity are not regularly reviewed, breach monitoring is not performed, and unexpected sign-ins or password changes are treated as potential account takeover.</t>
  </si>
  <si>
    <t>Review Microsoft account security activity periodically, enable or verify relevant login alerts, and use breach monitoring for the Outlook address.</t>
  </si>
  <si>
    <t>The Microsoft 365 account is institution-provided and managed by the college. Password reuse, password-manager use, recovery methods, MFA configuration, active sessions, connected applications, and shared access have not yet been verified.</t>
  </si>
  <si>
    <t>Unverified authentication and access settings may leave unknown security gaps. Because some controls are managed by the institution, the user may also have limited visibility or ability to change them.</t>
  </si>
  <si>
    <t>User confirmed that password and recovery settings are unverified, MFA status and method are unverified, and active sessions, connected applications, and shared access have not been reviewed.</t>
  </si>
  <si>
    <t>Review the Microsoft 365 security settings available to the user, verify MFA status and recovery methods, and review active sessions and connected applications.</t>
  </si>
  <si>
    <t>Recent sign-in activity and new-device alerts are not regularly reviewed. Suspicious Microsoft 365 emails or alerts are verified through official Microsoft or college IT channels. Breach monitoring status is unverified.</t>
  </si>
  <si>
    <t>Unauthorized sign-ins may not be detected promptly if account activity is not reviewed. Unverified breach monitoring may also delay awareness of exposed credentials.</t>
  </si>
  <si>
    <t>User confirmed no regular review of recent sign-ins or new-device alerts, official-channel verification for suspicious messages, unverified breach monitoring, and an existing account-takeover response procedure.</t>
  </si>
  <si>
    <t>Review recent Microsoft 365 sign-in activity regularly, verify breach-monitoring options, and continue using college IT as part of the account-takeover response process.</t>
  </si>
  <si>
    <t>The college student portal credential is managed with a password manager, and MFA is enabled with an authenticator app. Active sessions, connected applications, and shared access have not yet been reviewed. Password reuse and recovery contact status remain unverified.</t>
  </si>
  <si>
    <t>Unreviewed sessions or connected applications may retain unnecessary access. If recovery information is outdated or the password is reused, account compromise or recovery risk may increase.</t>
  </si>
  <si>
    <t>User confirmed password manager use and authenticator-app MFA. Active sessions, connected applications, shared access, password reuse, and recovery contact status remain unverified.</t>
  </si>
  <si>
    <t>Verify that the password is unique, confirm recovery email and phone information, and review active sessions and connected applications periodically.</t>
  </si>
  <si>
    <t>Login and account activity are reviewed regularly. Breach monitoring for the login email address has not yet been verified.</t>
  </si>
  <si>
    <t>Account activity is being monitored, but exposed credentials may not be identified quickly if breach monitoring is not enabled.</t>
  </si>
  <si>
    <t>User confirmed regular review of login or active-session activity. Breach monitoring status for the login email remains unverified.</t>
  </si>
  <si>
    <t>Keep reviewing login activity regularly and verify whether breach monitoring is enabled for the email address used to access the student portal.</t>
  </si>
  <si>
    <t>Password reuse, password-manager use, recovery information, MFA configuration, active sessions, connected applications, and shared access have not yet been verified for the learning management system.</t>
  </si>
  <si>
    <t>Unverified authentication and access settings may leave unknown security gaps. If the password is reused or MFA is not enabled, account compromise risk may be higher.</t>
  </si>
  <si>
    <t>User confirmed that password and recovery settings are unverified, MFA status is unverified, and active sessions, connected applications, and shared access have not been reviewed.</t>
  </si>
  <si>
    <t>Verify password uniqueness, recovery information, MFA status, active sessions, and connected applications. Enable the strongest available MFA method if supported</t>
  </si>
  <si>
    <t>Login activity, new-device alerts, and active sessions are not reviewed regularly. Breach monitoring is not currently used for the email address associated with the account.</t>
  </si>
  <si>
    <t>Unauthorized access or exposed credentials may not be detected promptly.</t>
  </si>
  <si>
    <t>User confirmed that login and active-session activity are not reviewed regularly and breach monitoring is not performed.</t>
  </si>
  <si>
    <t>Review login and active-session activity periodically and enable breach monitoring for the email address used to access the learning management system.</t>
  </si>
  <si>
    <t>The password may be reused across other services. Password-manager use, recovery information, MFA configuration, active sessions, connected applications, and shared access have not yet been verified.</t>
  </si>
  <si>
    <t>Password reuse may increase the risk of credential-stuffing attacks. Unverified MFA and access settings may leave additional account-security gaps.</t>
  </si>
  <si>
    <t>User indicated that the password may be reused. MFA status, password-manager use, recovery information, active sessions, connected applications, and shared access remain unverified.</t>
  </si>
  <si>
    <t>Change the password to a unique password, store it in a password manager, verify recovery information, enable the strongest available MFA method, and review active sessions.</t>
  </si>
  <si>
    <t>Login activity, new-device alerts, and active sessions are not reviewed regularly. Breach monitoring is not currently used for the email address associated with this account.</t>
  </si>
  <si>
    <t>User confirmed that account activity is not reviewed regularly and breach monitoring is not performed.</t>
  </si>
  <si>
    <t>Review login and active-session activity periodically and enable breach monitoring for the associated email address.</t>
  </si>
  <si>
    <t>User indicated that the password is probably reused. MFA status, password-manager use, recovery information, active sessions, connected applications, and shared access remain unverified.</t>
  </si>
  <si>
    <t>Change the password to a unique password, store it in a password manager, verify recovery information, enable MFA if available, and review active sessions and connected applications.</t>
  </si>
  <si>
    <t>Login alerts, new-device notifications, and active-session review have not yet been verified. Breach monitoring is not currently used for the email address associated with the account.</t>
  </si>
  <si>
    <t>Unauthorized account access or exposed credentials may not be detected promptly.</t>
  </si>
  <si>
    <t>User confirmed that account-activity monitoring remains unverified and breach monitoring is not performed.</t>
  </si>
  <si>
    <t>Verify available login and new-device alerts, review active sessions periodically, and enable breach monitoring for the associated email address.</t>
  </si>
  <si>
    <t>The TryHackMe credential is managed with a password manager, and passkey authentication is enabled. Active sessions, connected applications, and shared access have not yet been reviewed.</t>
  </si>
  <si>
    <t>Unreviewed sessions or connected applications may retain unnecessary access. If the password is reused or recovery information is outdated, account compromise or recovery risk may increase.</t>
  </si>
  <si>
    <t>Verify that the password is unique, confirm recovery information, and review active sessions and connected applications periodically.</t>
  </si>
  <si>
    <t>Login activity, new-device alerts, and active sessions are not reviewed regularly. Breach monitoring is not currently used for the email address associated with the TryHackMe account.</t>
  </si>
  <si>
    <t>User confirmed that account activity is not reviewed regularly and breach monitoring is not performed</t>
  </si>
  <si>
    <t>Review login and active-session activity periodically and enable breach monitoring for the email address associated with TryHackMe.</t>
  </si>
  <si>
    <t>The account uses a password that is not reused across other services. Password-manager use, recovery information, MFA configuration, active sessions, connected applications, and shared access have not yet been verified</t>
  </si>
  <si>
    <t>Unverified MFA and access settings may leave unknown security gaps. Outdated recovery information could also make account recovery more difficult.</t>
  </si>
  <si>
    <t>User confirmed that the password is not reused. Password-manager use, recovery information, MFA status, active sessions, connected applications, and shared access remain unverified.</t>
  </si>
  <si>
    <t>Verify password-manager use and recovery information, enable MFA if available, and review active sessions and connected applications.</t>
  </si>
  <si>
    <t>ChatGPT is accessed using Google sign-in rather than a separate ChatGPT password. Passkey authentication is enabled. Active sessions and connected applications or services have not yet been reviewed.</t>
  </si>
  <si>
    <t>Because access depends on the Google Account, compromise of that account could also affect ChatGPT access. Unreviewed sessions or connected services may retain unnecessary access.</t>
  </si>
  <si>
    <t>User confirmed Google sign-in is used, no separate reused ChatGPT password is used, and passkey authentication is enabled. Active sessions and connected applications or services remain unverified.</t>
  </si>
  <si>
    <t>Keep the Google Account strongly protected and review ChatGPT active sessions and connected services periodically. Remove any session or connection that is no longer needed.</t>
  </si>
  <si>
    <t>Login notifications, new-device alerts, and active-session review have not yet been verified. Breach monitoring is not currently used for the email address associated with the ChatGPT account.</t>
  </si>
  <si>
    <t>Unauthorized access or exposed account credentials may not be detected promptly.</t>
  </si>
  <si>
    <t>Review active sessions and available login alerts periodically, and enable breach monitoring for the email address associated with the account.</t>
  </si>
  <si>
    <t>Login notifications, new-device alerts, and active-session review have not yet been verified. Breach monitoring is not currently used for the email address associated with the Claude account.</t>
  </si>
  <si>
    <t>Review active sessions and available login alerts periodically, and enable breach monitoring for the email address associated with Claude.</t>
  </si>
  <si>
    <t>Claude is accessed using Google sign-in rather than a separate Claude password. Passkey authentication is enabled. Active sessions, connected applications, and shared access have not yet been reviewed.</t>
  </si>
  <si>
    <t>Because access depends on the Google Account, compromise of that account could also affect Claude access. Unreviewed sessions or connected services may retain unnecessary access.</t>
  </si>
  <si>
    <t>User confirmed Google sign-in, no separate reused Claude password, and passkey authentication. Active sessions, connected applications, and shared access remain unverified.</t>
  </si>
  <si>
    <t>Keep the Google Account strongly protected and review Claude active sessions and connected services periodically. Remove anything that is no longer needed.</t>
  </si>
  <si>
    <t>Password uniqueness, password-manager use, recovery information, MFA configuration, active sessions, connected applications, and shared access have not yet been verified for the internship platform.</t>
  </si>
  <si>
    <t>Unverified authentication and access settings may leave unknown security gaps. If the password is reused or MFA is not enabled, account-compromise risk may increase.</t>
  </si>
  <si>
    <t>Verify password uniqueness, recovery information, MFA availability, active sessions, and connected applications. Enable the strongest available MFA method if supported.</t>
  </si>
  <si>
    <t>Login alerts, new-device notifications, and active-session review have not yet been verified. Breach monitoring is not currently used for the email address associated with the internship platform.</t>
  </si>
  <si>
    <t>Unauthorized access or exposed credentials may not be detected promptly</t>
  </si>
  <si>
    <t>LinkedIn uses a unique password stored in a password manager, and recovery information is current. Two-Step Verification is enabled using SMS. Active sessions have been reviewed and no suspicious sessions were identified.</t>
  </si>
  <si>
    <t>SMS-based authentication provides additional protection but is more exposed to SIM-swap or phone-number takeover risks than stronger MFA methods.</t>
  </si>
  <si>
    <t>User confirmed no password reuse, password manager use, current recovery information, 2-Step Verification enabled, SMS-based authentication, and no suspicious active sessions.</t>
  </si>
  <si>
    <t>Keep the unique password and password manager in use. If available, migrate from SMS-based verification to an authenticator app or passkey.</t>
  </si>
  <si>
    <t>Active LinkedIn sessions have been reviewed and no suspicious sessions were found. Login notifications are disabled. Breach monitoring is not currently used for the email address associated with the account.</t>
  </si>
  <si>
    <t>Unauthorized access may not be noticed quickly because login notifications are disabled. Exposed credentials may also go unnoticed without breach monitoring.</t>
  </si>
  <si>
    <t>User confirmed active sessions were reviewed with no suspicious activity, login notifications are OFF, and breach monitoring is not performed.</t>
  </si>
  <si>
    <t>Enable login notifications if available, continue reviewing active sessions periodically, and enable breach monitoring for the associated email address.</t>
  </si>
  <si>
    <t>The GitHub credential is managed with a password manager, and passkey-based 2FA is enabled. Personal Access Tokens, SSH keys, OAuth applications, and repository visibility have been reviewed and no issues were identified.</t>
  </si>
  <si>
    <t>Unverified password reuse or outdated recovery information could increase account compromise or recovery risk.</t>
  </si>
  <si>
    <t>User confirmed password manager use, passkey-based 2FA, and that Personal Access Tokens, SSH keys, OAuth applications, and repository visibility were reviewed with no issues identified.</t>
  </si>
  <si>
    <t>Verify that the GitHub password is unique and confirm recovery information. Continue reviewing tokens, SSH keys, OAuth applications, and repository visibility periodically.</t>
  </si>
  <si>
    <t>GitHub Security Log is not reviewed regularly, and active sessions have not been verified. Dependabot and secret-scanning alert status remains unverified. Breach monitoring is not currently used for the email address associated with the account.</t>
  </si>
  <si>
    <t>Suspicious account activity, vulnerable dependencies, exposed secrets, or breached credentials may not be detected promptly.</t>
  </si>
  <si>
    <t>User confirmed that GitHub Security Log is not reviewed regularly, active sessions remain unverified, Dependabot and secret-scanning status is unverified, and breach monitoring is not performed.</t>
  </si>
  <si>
    <t>Review GitHub Security Log and active sessions periodically, verify Dependabot and secret scanning for repositories, and enable breach monitoring for the associated email address.</t>
  </si>
  <si>
    <t>Zoom is accessed using Apple sign-in rather than a separate Zoom password. Zoom-specific MFA status has not yet been verified. Active sessions, connected applications, and shared access have also not been reviewed.</t>
  </si>
  <si>
    <t>Zoom access depends on the security of the Apple account. Unverified MFA and session settings may leave unknown access-control gaps.</t>
  </si>
  <si>
    <t>User confirmed Apple sign-in is used. Zoom MFA status, active sessions, connected applications, and shared access remain unverified.</t>
  </si>
  <si>
    <t>Verify Zoom MFA settings, review active sessions and connected applications, and continue protecting the linked Apple account with strong authentication.</t>
  </si>
  <si>
    <t>Login notifications, new-device alerts, and active-session review have not yet been verified. Breach monitoring is not currently used for the email address associated with Zoom.</t>
  </si>
  <si>
    <t>Unauthorized access or exposed account information may not be detected promptly</t>
  </si>
  <si>
    <t>Verify available login and session alerts, review active sessions periodically, and enable breach monitoring for the associated email address.</t>
  </si>
  <si>
    <t>The Instagram password may be reused across other services. Password-manager use, recovery information, 2FA configuration, active sessions, connected applications, and shared access have not yet been verified</t>
  </si>
  <si>
    <t>Password reuse may increase the risk of credential-stuffing attacks. Unverified MFA and session settings may leave additional account-security gaps.</t>
  </si>
  <si>
    <t>User indicated that the Instagram password may be reused. Password-manager use, recovery information, 2FA status, active sessions, connected applications, and shared access remain unverified.</t>
  </si>
  <si>
    <t>Change the password to a unique password, store it in a password manager, verify recovery information, enable 2FA using the strongest available method, and review active sessions and connected applications.</t>
  </si>
  <si>
    <t>Login activity and new-device notifications are not reviewed regularly. Breach monitoring is not currently used for the email address associated with the Instagram account.</t>
  </si>
  <si>
    <t>User confirmed that login activity is not reviewed regularly and breach monitoring is not performed.</t>
  </si>
  <si>
    <t>Review Instagram login activity periodically, enable relevant security alerts, and enable breach monitoring for the associated email address.</t>
  </si>
  <si>
    <t>LINE login notifications and logged-in devices are not reviewed regularly. Breach monitoring is not currently used for the email address associated with the account.</t>
  </si>
  <si>
    <t>Unauthorized login activity or exposed credentials may not be detected promptly.</t>
  </si>
  <si>
    <t>User confirmed that login notifications and logged-in devices are not reviewed regularly and breach monitoring is not performed.</t>
  </si>
  <si>
    <t>Review LINE login notifications and logged-in devices periodically, remove unknown sessions immediately, and enable breach monitoring for the associated email address.</t>
  </si>
  <si>
    <t>LINE password management, registered recovery information, and account-transfer settings have not yet been verified. MFA or additional authentication status is also unverified. Logged-in devices and connected services have not been reviewed.</t>
  </si>
  <si>
    <t>Unverified authentication and recovery settings may increase the risk of account takeover or make account recovery more difficult</t>
  </si>
  <si>
    <t>.User confirmed that password and account-transfer settings are unknown, MFA status is unverified, and logged-in devices and connected services have not been reviewed.</t>
  </si>
  <si>
    <t>Review the registered email address and phone number, verify account-transfer and authentication settings, and review logged-in devices and connected services.</t>
  </si>
  <si>
    <t>YouTube channel permissions and connected applications have been reviewed, and no unknown channel managers or unnecessary connections were identified. Authentication is handled through the linked Google Account.</t>
  </si>
  <si>
    <t>Current access settings reduce the risk of unauthorized channel management. Remaining risk mainly depends on the security of the linked Google Account.</t>
  </si>
  <si>
    <t>User confirmed that YouTube channel permissions and connected applications were reviewed and no issues were identified.</t>
  </si>
  <si>
    <t>Continue reviewing channel permissions and connected applications periodically, especially after adding new services or integrations.</t>
  </si>
  <si>
    <t>The ability to notice unexpected YouTube activity, such as uploads, comments, or channel-setting changes, has not yet been verified. Account-level alerts are primarily handled through the linked Google Account.</t>
  </si>
  <si>
    <t>Unauthorized YouTube activity may not be noticed promptly if channel activity is not reviewed.</t>
  </si>
  <si>
    <t>User confirmed that detection of unexpected YouTube activity remains unverified.</t>
  </si>
  <si>
    <t>Periodically review YouTube channel activity, recent uploads, comments, and settings, while continuing to monitor the linked Google Account for security alerts.</t>
  </si>
  <si>
    <t>The carrier account credential is managed with a password manager, and recovery email and phone information are current. No carrier account PIN is configured. SIM-swap or port-out protection has not yet been verified.</t>
  </si>
  <si>
    <t>Missing or unverified carrier protections may increase the risk of unauthorized SIM transfer or phone-number takeover. Unreviewed sessions may also retain unnecessary access.</t>
  </si>
  <si>
    <t>User confirmed password manager use, current recovery information, no carrier PIN, unverified SIM-swap / port-out protection, and unverified active sessions and connected access.</t>
  </si>
  <si>
    <t>Set a carrier account PIN or passcode, enable number-lock or SIM-swap protection if available, and review active sessions and connected access.</t>
  </si>
  <si>
    <t>Carrier login activity and active sessions are not reviewed regularly. SIM-change notifications are enabled, while port-out and account-change notification status remain unverified. There is no defined process for correlating unexpected loss of service with password-reset or login alerts.</t>
  </si>
  <si>
    <t>A SIM-swap or carrier-account compromise may not be detected quickly if login activity and related signals are not monitored together.</t>
  </si>
  <si>
    <t>User confirmed no regular carrier-account activity review, SIM-change alerts ON, port-out and account-change alerts unverified, no SIM-swap correlation procedure, SMS-dependent accounts identified, and no breach monitoring.</t>
  </si>
  <si>
    <t>Enable carrier login, port-out, and account-change alerts if available. Define a simple SIM-swap detection rule for unexpected loss of service plus password-reset or login alerts, and enable breach monitoring for the associated email address.</t>
  </si>
  <si>
    <t>The Amazon password may be reused across other services. Passkey authentication is enabled. Password-manager use, recovery information, active sessions, connected applications, and shared access have not yet been verified.</t>
  </si>
  <si>
    <t>Password reuse may increase the risk of credential-stuffing attacks. Unreviewed sessions or connected applications may also retain unnecessary access.</t>
  </si>
  <si>
    <t>User indicated that the Amazon password may be reused and confirmed passkey authentication is enabled. Password-manager use, recovery information, active sessions, connected applications, and shared access remain unverified.</t>
  </si>
  <si>
    <t>Change the Amazon password to a unique password if needed, store it in a password manager, verify recovery information, and review active sessions and connected applications.</t>
  </si>
  <si>
    <t>Login alerts, new-device notifications, and active-session review have not yet been verified. Breach monitoring is not currently used for the email address associated with the Amazon account.</t>
  </si>
  <si>
    <t>Verify Amazon login alerts and active sessions, review them periodically, and enable breach monitoring for the associated email address.</t>
  </si>
  <si>
    <t>Job-hunting materials are stored locally on the MacBook. The MacBook is protected with FileVault encryption. Files are primarily submitted through official company application portals. No separate backup of the job-hunting materials is currently maintained.</t>
  </si>
  <si>
    <t>If the MacBook is lost, damaged, or suffers storage failure, resumes, application essays, and other job-hunting materials could be permanently lost. A single local copy creates a significant availability risk.</t>
  </si>
  <si>
    <t>User confirmed that job-hunting materials are stored locally on the MacBook, are primarily submitted through official application portals, and currently have no backup. FileVault on the MacBook is enabled.</t>
  </si>
  <si>
    <t>Create at least one off-device backup, such as an encrypted cloud storage location or external backup. Keep the local Mac copy protected with FileVault and continue using official application portals for submissions.</t>
  </si>
  <si>
    <t>Unintended changes or deletions to job-hunting materials can be identified and recovered using available version-history or recovery capabilities.</t>
  </si>
  <si>
    <t>The ability to detect and recover file changes reduces integrity risk, but it does not replace a separate backup if the entire device or storage location becomes unavailable.</t>
  </si>
  <si>
    <t>User confirmed that unintended edits or deletions can be detected and recovered through version-history or similar recovery functionality.</t>
  </si>
  <si>
    <t>Continue using version-history features and add a separate backup so that recovery is possible even if the MacBook itself becomes unavailable.</t>
  </si>
  <si>
    <t>Academic files are stored on the MacBook and in iCloud Drive. The MacBook is protected with FileVault encryption. Files are shared primarily through Google Drive links and email attachments.</t>
  </si>
  <si>
    <t>Email attachments may create additional copies of academic files and make access harder to control after sending. Backup protection is present, but restore capability has not yet been verified.</t>
  </si>
  <si>
    <t>User confirmed that academic files are stored locally on the MacBook and in iCloud Drive, are shared through Google Drive links and email attachments, and have a backup. FileVault is enabled on the MacBook.</t>
  </si>
  <si>
    <t>Prefer access-controlled sharing links over email attachments when practical, periodically review shared-file permissions, and test restoration from the backup.</t>
  </si>
  <si>
    <t>Academic files are backed up, but the ability to detect unintended changes or deletions through version history or backup comparison has not yet been verified.</t>
  </si>
  <si>
    <t>Accidental modification or deletion may not be noticed quickly, even though a backup copy exists.</t>
  </si>
  <si>
    <t>User confirmed that a backup exists, while version-history or change-detection capability remains unverified.</t>
  </si>
  <si>
    <t>Verify version-history or file-recovery features and test whether an accidentally modified or deleted file can be identified and restored.</t>
  </si>
  <si>
    <t>Financial documents such as tax records and bank statements are stored locally on the MacBook. The MacBook is protected with FileVault encryption. Documents are primarily submitted through official banking or tax-related portals. No separate backup is currently maintained.</t>
  </si>
  <si>
    <t>If the MacBook is lost, damaged, or its storage fails, important financial records may be permanently lost. Keeping only one local copy creates a significant availability risk.</t>
  </si>
  <si>
    <t>User confirmed that financial documents are stored locally on the MacBook, are primarily shared through official portals, and currently have no backup. FileVault is enabled on the MacBook.</t>
  </si>
  <si>
    <t>Create at least one off-device backup in an encrypted cloud location or external backup. Consider storing especially sensitive financial documents in a dedicated encrypted folder or vault.</t>
  </si>
  <si>
    <t>The ability to detect or recover unintended changes and deletions of financial documents has not yet been verified.</t>
  </si>
  <si>
    <t>Accidental modification, deletion, or corruption may not be noticed or recoverable quickly</t>
  </si>
  <si>
    <t>User confirmed that version-history or backup-based change detection and recovery remains unverified.</t>
  </si>
  <si>
    <t>Add a backup solution with version history and test whether an accidentally modified or deleted financial document can be identified and restored.</t>
  </si>
  <si>
    <t>Sharing activity is not reviewed regularly. However, accidentally deleted photos can be identified and recovered through the Recently Deleted feature.</t>
  </si>
  <si>
    <t>Unauthorized or unintended sharing changes may not be noticed quickly if sharing activity is not reviewed regularly.</t>
  </si>
  <si>
    <t>User confirmed that sharing activity is not reviewed regularly and that accidentally deleted photos can be recovered through Recently Deleted.</t>
  </si>
  <si>
    <t>.iCloud Photos sharing settings have been reviewed and no unnecessary sharing was identified. Advanced Data Protection is enabled. A second copy of the photo library exists outside iCloud.</t>
  </si>
  <si>
    <t>Current controls reduce both confidentiality and availability risks. Remaining risk mainly depends on keeping sharing settings and the secondary copy current.</t>
  </si>
  <si>
    <t>User confirmed no unnecessary shared albums, links, or collaborators, Advanced Data Protection enabled, and a separate copy of photos outside iCloud.</t>
  </si>
  <si>
    <t>Continue reviewing sharing settings periodically and keep the secondary photo copy up to date.</t>
  </si>
  <si>
    <t>Review shared albums, links, and collaborators periodically, and continue using Recently Deleted for recovery from accidental deletion.</t>
  </si>
  <si>
    <t>iCloud Drive sharing links and collaborators have been reviewed, and no unnecessary sharing was identified. Advanced Data Protection is enabled. However, no separate copy of the iCloud Drive files exists outside iCloud.</t>
  </si>
  <si>
    <t>If files are deleted, corrupted, or become unavailable in iCloud, there may be no independent recovery copy. Relying on a single cloud provider creates an availability risk.</t>
  </si>
  <si>
    <t>User confirmed no unnecessary sharing, Advanced Data Protection enabled, and no separate copy of iCloud Drive files outside iCloud.</t>
  </si>
  <si>
    <t>Create a second copy of important iCloud Drive files in another protected location, such as encrypted external storage or another trusted cloud service.</t>
  </si>
  <si>
    <t>Sharing activity is not reviewed regularly. The user currently cannot reliably detect or recover unintended file changes or deletions through version history or recently deleted features</t>
  </si>
  <si>
    <t>Unauthorized sharing changes, accidental edits, or deletions may not be noticed or recoverable promptly.</t>
  </si>
  <si>
    <t>User confirmed that sharing activity is not reviewed regularly and that unintended file changes or deletions cannot currently be reliably detected or restored.</t>
  </si>
  <si>
    <t>Review sharing activity periodically and verify available file-recovery features. Add a separate backup so that important files can be restored even if iCloud recovery is insufficient</t>
  </si>
  <si>
    <t>Video files are stored in iCloud Drive. Sharing links and collaborators have been reviewed and no unnecessary sharing was identified. Encryption protection for these files has not yet been verified. No separate copy exists outside iCloud Drive.</t>
  </si>
  <si>
    <t>If iCloud Drive becomes unavailable or files are deleted or corrupted, there may be no independent recovery copy. Unverified encryption settings also leave uncertainty about data-at-rest protection.</t>
  </si>
  <si>
    <t>User confirmed that sharing settings were reviewed with no issues, video files are stored in iCloud Drive, encryption protection remains unverified, and no separate backup exists.</t>
  </si>
  <si>
    <t>Verify the encryption protection applied to the iCloud Drive account and create a second copy of important video files in another protected location.</t>
  </si>
  <si>
    <t>Sharing activity is not reviewed regularly. However, unintended file changes or deletions can be identified and recovered through available version-history or recently deleted features.</t>
  </si>
  <si>
    <t>Unauthorized sharing changes may not be noticed promptly, even though file recovery capability is available.</t>
  </si>
  <si>
    <t>User confirmed that sharing activity is not reviewed regularly and that deleted or changed video files can be identified and recovered.</t>
  </si>
  <si>
    <t>Review sharing activity periodically and continue using version-history or recently deleted features for recovery.</t>
  </si>
  <si>
    <t>The Obsidian career vault is stored locally on a MacBook protected by FileVault. No cloud synchronization, version control, or separate backup is currently configured.</t>
  </si>
  <si>
    <t>If the MacBook is lost, damaged, or the vault is accidentally deleted or corrupted, important career notes could be permanently lost.</t>
  </si>
  <si>
    <t>User confirmed the vault is stored locally on the MacBook, FileVault is enabled, no backup exists, and restore testing has not been performed.</t>
  </si>
  <si>
    <t>Create an encrypted backup or private version-controlled copy of the vault and test restoration periodically.</t>
  </si>
  <si>
    <t>No version-control, backup-diff, or other mechanism is currently used to detect unintended changes or deletions in the Obsidian vault</t>
  </si>
  <si>
    <t>Accidental edits, deletions, or corruption may not be noticed until important information is already lost.</t>
  </si>
  <si>
    <t>User confirmed that no mechanism is currently available to detect unintended changes or deletions in the vault.</t>
  </si>
  <si>
    <t>Add version history through a private Git repository or another protected backup solution and periodically review or test recovery.</t>
  </si>
  <si>
    <t>The passport is stored in a consistent, known location, but the storage location is not locked. A separate secure copy of the passport details and photo page is maintained for replacement purposes.</t>
  </si>
  <si>
    <t>An unlocked storage location increases the risk of unauthorized physical access, theft, or loss. A secure copy supports recovery but does not prevent misuse of the original document.</t>
  </si>
  <si>
    <t>User confirmed that the passport is kept in a designated but unlocked location and that a separate copy of the passport information is stored securely.</t>
  </si>
  <si>
    <t>Move the passport to a locked or otherwise access-controlled storage location while keeping the separate recovery copy in a different secure place.</t>
  </si>
  <si>
    <t>The passport's physical presence is checked before travel or when needed. However, no defined monitoring method is used to identify possible identity-theft indicators related to passport information</t>
  </si>
  <si>
    <t>Physical loss may be noticed, but misuse of copied or exposed passport information may not be detected quickly.</t>
  </si>
  <si>
    <t>User confirmed a habit of checking that the passport is in its expected location and no defined identity-theft monitoring method.</t>
  </si>
  <si>
    <t>Keep the physical-location check habit and define a simple identity-theft monitoring process for suspicious account activity or unexpected use of personal identity information.</t>
  </si>
  <si>
    <t>Immigration and student-status documents are stored in a consistent, known location, but the physical storage is not locked. A separate digital copy is securely stored for recovery purposes</t>
  </si>
  <si>
    <t>An unlocked storage location increases the risk of loss, theft, or unauthorized physical access. The separate digital copy supports recovery but does not protect the original document from physical theft.</t>
  </si>
  <si>
    <t>User confirmed that student-status documents are kept in a designated but unlocked location and that a separate scanned or PDF copy is stored securely.</t>
  </si>
  <si>
    <t>Store the original immigration documents in a locked or otherwise access-controlled location and keep the recovery copy in a separate secure location.</t>
  </si>
  <si>
    <t>The physical presence of immigration documents is checked before travel or when needed. However, no defined monitoring method exists for identifying possible misuse of information contained in the documents.</t>
  </si>
  <si>
    <t>Physical loss may be detected, but unauthorized use of copied or exposed document information may not be noticed promptly.</t>
  </si>
  <si>
    <t>User confirmed a habit of checking that the documents are in their expected location and no defined identity-theft monitoring process.</t>
  </si>
  <si>
    <t>Continue checking the physical documents before travel and define a simple process for monitoring suspicious activity involving personal identity information.</t>
  </si>
  <si>
    <t>Unlocked storage increases the risk of unauthorized physical access, theft, or loss. Because SSN information is highly sensitive, exposure could create significant identity-theft risk.</t>
  </si>
  <si>
    <t>User confirmed that SSN-related documents are kept in a designated but unlocked location and that a separate secure copy of the necessary information is maintained.</t>
  </si>
  <si>
    <t>The physical presence of SSN-related documents is checked regularly. However, credit freezes and credit-monitoring alerts are not currently used, and no defined process exists for monitoring identity-theft indicators related to the SSN.</t>
  </si>
  <si>
    <t>Physical loss may be noticed, but fraudulent credit activity or misuse of SSN information may not be detected quickly.</t>
  </si>
  <si>
    <t>User confirmed regular physical checks of the documents, no credit freeze or credit-monitoring alerts, and no defined identity-theft monitoring process.</t>
  </si>
  <si>
    <t>Consider placing a credit freeze with the three major credit bureaus, enable credit-monitoring alerts, and define a simple process for reviewing suspicious credit or identity activity.</t>
  </si>
  <si>
    <t>SSN-related documents are stored in a consistent, known location, but the storage location is not locked. A separate secure copy of the necessary SSN information is maintained for recovery purposes</t>
  </si>
  <si>
    <t>Store original SSN-related documents in a locked or otherwise access-controlled location and keep the recovery copy in a separate protected location.
Detect</t>
  </si>
  <si>
    <t>Physical credit and debit cards are stored in a consistent, secure location when not in use.</t>
  </si>
  <si>
    <t>Keeping cards in a known secure location reduces the risk of loss or unauthorized physical access.</t>
  </si>
  <si>
    <t>User confirmed that physical credit and debit cards are stored in a designated secure location.</t>
  </si>
  <si>
    <t>Continue storing unused cards in the same secure location and avoid carrying cards that are not needed.</t>
  </si>
  <si>
    <t>The presence of physical credit and debit cards is checked regularly</t>
  </si>
  <si>
    <t>Regular checks reduce the chance that a lost or missing card will remain unnoticed for an extended period.</t>
  </si>
  <si>
    <t>User confirmed that physical cards are checked regularly to ensure none are missing.</t>
  </si>
  <si>
    <t xml:space="preserve">Continue periodic card checks and immediately lock or report any missing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</si>
</sst>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3864"/>
      <name val="Calibri"/>
      <family val="2"/>
    </font>
    <font>
      <i/>
      <sz val="9"/>
      <color rgb="FF595959"/>
      <name val="Calibri"/>
      <family val="2"/>
    </font>
    <font>
      <b/>
      <sz val="11"/>
      <color rgb="FFFFFFFF"/>
      <name val="Calibri"/>
      <family val="2"/>
    </font>
    <font>
      <b/>
      <sz val="14"/>
      <color rgb="FF1F3864"/>
      <name val="Calibri"/>
      <family val="2"/>
    </font>
    <font>
      <i/>
      <sz val="9"/>
      <color rgb="FF595959"/>
      <name val="Calibri"/>
      <family val="2"/>
    </font>
    <font>
      <b/>
      <sz val="11"/>
      <color rgb="FFFFFFFF"/>
      <name val="Calibri"/>
      <family val="2"/>
    </font>
    <font>
      <b/>
      <sz val="11"/>
      <color rgb="FF1F3864"/>
      <name val="Calibri"/>
      <family val="2"/>
    </font>
    <font>
      <b/>
      <sz val="11"/>
      <name val="Calibri"/>
      <family val="2"/>
    </font>
  </fonts>
  <fills count="12">
    <fill>
      <patternFill patternType="none"/>
    </fill>
    <fill>
      <patternFill patternType="gray125"/>
    </fill>
    <fill>
      <patternFill patternType="solid">
        <fgColor rgb="FF1F3864"/>
      </patternFill>
    </fill>
    <fill>
      <patternFill patternType="solid">
        <fgColor rgb="FFFFF9E5"/>
      </patternFill>
    </fill>
    <fill>
      <patternFill patternType="solid">
        <fgColor rgb="FF1F3864"/>
      </patternFill>
    </fill>
    <fill>
      <patternFill patternType="solid">
        <fgColor rgb="FFF2F2F2"/>
      </patternFill>
    </fill>
    <fill>
      <patternFill patternType="solid">
        <fgColor rgb="FFFFF9E5"/>
      </patternFill>
    </fill>
    <fill>
      <patternFill patternType="solid">
        <fgColor rgb="FFDDEBF7"/>
      </patternFill>
    </fill>
    <fill>
      <patternFill patternType="solid">
        <fgColor rgb="FFC6EFCE"/>
      </patternFill>
    </fill>
    <fill>
      <patternFill patternType="solid">
        <fgColor rgb="FFFFEB9C"/>
      </patternFill>
    </fill>
    <fill>
      <patternFill patternType="solid">
        <fgColor rgb="FFFFC7CE"/>
      </patternFill>
    </fill>
    <fill>
      <patternFill patternType="solid">
        <fgColor rgb="FFD9D9D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horizontal="center" vertical="top" wrapText="1"/>
    </xf>
    <xf numFmtId="0" fontId="0" fillId="3" borderId="1" xfId="0" applyFill="1" applyBorder="1" applyAlignment="1">
      <alignment vertical="top" wrapText="1"/>
    </xf>
    <xf numFmtId="0" fontId="4" fillId="0" borderId="0" xfId="0" applyFont="1"/>
    <xf numFmtId="0" fontId="5" fillId="0" borderId="0" xfId="0" applyFont="1"/>
    <xf numFmtId="0" fontId="6" fillId="4" borderId="2" xfId="0" applyFont="1" applyFill="1" applyBorder="1" applyAlignment="1">
      <alignment horizontal="center" vertical="center" wrapText="1"/>
    </xf>
    <xf numFmtId="0" fontId="0" fillId="0" borderId="2" xfId="0" applyBorder="1" applyAlignment="1">
      <alignment horizontal="center" vertical="top" wrapText="1"/>
    </xf>
    <xf numFmtId="0" fontId="0" fillId="5" borderId="2" xfId="0" applyFill="1" applyBorder="1" applyAlignment="1">
      <alignment horizontal="center" vertical="top" wrapText="1"/>
    </xf>
    <xf numFmtId="0" fontId="0" fillId="5" borderId="2" xfId="0" applyFill="1" applyBorder="1" applyAlignment="1">
      <alignment vertical="top" wrapText="1"/>
    </xf>
    <xf numFmtId="0" fontId="0" fillId="0" borderId="2" xfId="0"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xf numFmtId="0" fontId="7" fillId="0" borderId="0" xfId="0" applyFont="1"/>
    <xf numFmtId="9" fontId="0" fillId="5" borderId="2" xfId="0" applyNumberFormat="1" applyFill="1" applyBorder="1" applyAlignment="1">
      <alignment horizontal="center" vertical="top" wrapText="1"/>
    </xf>
    <xf numFmtId="0" fontId="8" fillId="5" borderId="2" xfId="0" applyFont="1" applyFill="1" applyBorder="1" applyAlignment="1">
      <alignment vertical="top" wrapText="1"/>
    </xf>
    <xf numFmtId="0" fontId="8" fillId="5" borderId="2" xfId="0" applyFont="1" applyFill="1" applyBorder="1" applyAlignment="1">
      <alignment horizontal="center" vertical="top" wrapText="1"/>
    </xf>
    <xf numFmtId="9" fontId="8" fillId="5" borderId="2" xfId="0" applyNumberFormat="1" applyFont="1" applyFill="1" applyBorder="1" applyAlignment="1">
      <alignment horizontal="center" vertical="top" wrapText="1"/>
    </xf>
    <xf numFmtId="0" fontId="0" fillId="8" borderId="0" xfId="0" applyFill="1"/>
    <xf numFmtId="0" fontId="0" fillId="0" borderId="0" xfId="0" applyAlignment="1">
      <alignment vertical="top" wrapText="1"/>
    </xf>
    <xf numFmtId="0" fontId="0" fillId="9" borderId="0" xfId="0" applyFill="1"/>
    <xf numFmtId="0" fontId="0" fillId="10" borderId="0" xfId="0" applyFill="1"/>
    <xf numFmtId="0" fontId="0" fillId="11" borderId="0" xfId="0" applyFill="1"/>
    <xf numFmtId="0" fontId="0" fillId="6" borderId="0" xfId="0" applyFill="1"/>
  </cellXfs>
  <cellStyles count="1">
    <cellStyle name="Normal" xfId="0" builtinId="0"/>
  </cellStyles>
  <dxfs count="22">
    <dxf>
      <fill>
        <patternFill patternType="solid">
          <fgColor rgb="FFFFF9E5"/>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E2EFDA"/>
        </patternFill>
      </fill>
    </dxf>
    <dxf>
      <fill>
        <patternFill patternType="solid">
          <fgColor rgb="FFFFF2CC"/>
        </patternFill>
      </fill>
    </dxf>
    <dxf>
      <fill>
        <patternFill patternType="solid">
          <fgColor rgb="FFFCE4D6"/>
        </patternFill>
      </fill>
    </dxf>
    <dxf>
      <fill>
        <patternFill patternType="solid">
          <fgColor rgb="FFF8CBAD"/>
        </patternFill>
      </fill>
    </dxf>
    <dxf>
      <fill>
        <patternFill patternType="solid">
          <fgColor rgb="FFFFF9E5"/>
        </patternFill>
      </fill>
    </dxf>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E2EFDA"/>
        </patternFill>
      </fill>
    </dxf>
    <dxf>
      <fill>
        <patternFill patternType="solid">
          <fgColor rgb="FFFFF2CC"/>
        </patternFill>
      </fill>
    </dxf>
    <dxf>
      <fill>
        <patternFill patternType="solid">
          <fgColor rgb="FFFCE4D6"/>
        </patternFill>
      </fill>
    </dxf>
    <dxf>
      <fill>
        <patternFill patternType="solid">
          <fgColor rgb="FFF8CBAD"/>
        </patternFill>
      </fill>
    </dxf>
    <dxf>
      <fill>
        <patternFill patternType="solid">
          <fgColor rgb="FFE2EFDA"/>
        </patternFill>
      </fill>
    </dxf>
    <dxf>
      <fill>
        <patternFill patternType="solid">
          <fgColor rgb="FFFFF2CC"/>
        </patternFill>
      </fill>
    </dxf>
    <dxf>
      <fill>
        <patternFill patternType="solid">
          <fgColor rgb="FFFCE4D6"/>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2" width="10" customWidth="1"/>
    <col min="3" max="3" width="11" customWidth="1"/>
    <col min="4" max="4" width="24" customWidth="1"/>
    <col min="5" max="5" width="32" customWidth="1"/>
    <col min="6" max="6" width="55" customWidth="1"/>
    <col min="7" max="9" width="9" customWidth="1"/>
    <col min="10" max="10" width="11" customWidth="1"/>
    <col min="11" max="11" width="14" customWidth="1"/>
    <col min="12" max="12" width="12" customWidth="1"/>
    <col min="13" max="13" width="30" customWidth="1"/>
  </cols>
  <sheetData>
    <row r="1" spans="1:13" ht="19" customHeight="1" x14ac:dyDescent="0.25">
      <c r="A1" s="1" t="s">
        <v>240</v>
      </c>
    </row>
    <row r="2" spans="1:13" x14ac:dyDescent="0.2">
      <c r="A2" s="2" t="s">
        <v>241</v>
      </c>
    </row>
    <row r="4" spans="1:13" ht="32" customHeight="1" x14ac:dyDescent="0.2">
      <c r="A4" s="3" t="s">
        <v>2</v>
      </c>
      <c r="B4" s="3" t="s">
        <v>3</v>
      </c>
      <c r="C4" s="3" t="s">
        <v>242</v>
      </c>
      <c r="D4" s="3" t="s">
        <v>5</v>
      </c>
      <c r="E4" s="3" t="s">
        <v>4</v>
      </c>
      <c r="F4" s="3" t="s">
        <v>243</v>
      </c>
      <c r="G4" s="3" t="s">
        <v>244</v>
      </c>
      <c r="H4" s="3" t="s">
        <v>245</v>
      </c>
      <c r="I4" s="3" t="s">
        <v>246</v>
      </c>
      <c r="J4" s="3" t="s">
        <v>6</v>
      </c>
      <c r="K4" s="3" t="s">
        <v>247</v>
      </c>
      <c r="L4" s="3" t="s">
        <v>248</v>
      </c>
      <c r="M4" s="3" t="s">
        <v>249</v>
      </c>
    </row>
    <row r="5" spans="1:13" ht="16" customHeight="1" x14ac:dyDescent="0.2">
      <c r="A5" s="4" t="s">
        <v>28</v>
      </c>
      <c r="B5" s="4" t="s">
        <v>250</v>
      </c>
      <c r="C5" s="4" t="s">
        <v>251</v>
      </c>
      <c r="D5" s="5" t="s">
        <v>252</v>
      </c>
      <c r="E5" s="5" t="s">
        <v>253</v>
      </c>
      <c r="F5" s="5" t="s">
        <v>254</v>
      </c>
      <c r="G5" s="4" t="s">
        <v>255</v>
      </c>
      <c r="H5" s="4" t="s">
        <v>255</v>
      </c>
      <c r="I5" s="4" t="s">
        <v>255</v>
      </c>
      <c r="J5" s="4" t="s">
        <v>256</v>
      </c>
      <c r="K5" s="4" t="s">
        <v>257</v>
      </c>
      <c r="L5" s="4" t="s">
        <v>33</v>
      </c>
      <c r="M5" s="5"/>
    </row>
    <row r="6" spans="1:13" ht="16" customHeight="1" x14ac:dyDescent="0.2">
      <c r="A6" s="4" t="s">
        <v>35</v>
      </c>
      <c r="B6" s="4" t="s">
        <v>258</v>
      </c>
      <c r="C6" s="4" t="s">
        <v>251</v>
      </c>
      <c r="D6" s="5" t="s">
        <v>252</v>
      </c>
      <c r="E6" s="5" t="s">
        <v>259</v>
      </c>
      <c r="F6" s="5" t="s">
        <v>260</v>
      </c>
      <c r="G6" s="4" t="s">
        <v>255</v>
      </c>
      <c r="H6" s="4" t="s">
        <v>255</v>
      </c>
      <c r="I6" s="4" t="s">
        <v>255</v>
      </c>
      <c r="J6" s="4" t="s">
        <v>256</v>
      </c>
      <c r="K6" s="4" t="s">
        <v>257</v>
      </c>
      <c r="L6" s="4" t="s">
        <v>261</v>
      </c>
      <c r="M6" s="5"/>
    </row>
    <row r="7" spans="1:13" ht="16" customHeight="1" x14ac:dyDescent="0.2">
      <c r="A7" s="4" t="s">
        <v>40</v>
      </c>
      <c r="B7" s="4" t="s">
        <v>262</v>
      </c>
      <c r="C7" s="4" t="s">
        <v>251</v>
      </c>
      <c r="D7" s="5" t="s">
        <v>252</v>
      </c>
      <c r="E7" s="5" t="s">
        <v>263</v>
      </c>
      <c r="F7" s="5" t="s">
        <v>264</v>
      </c>
      <c r="G7" s="4" t="s">
        <v>265</v>
      </c>
      <c r="H7" s="4" t="s">
        <v>265</v>
      </c>
      <c r="I7" s="4" t="s">
        <v>265</v>
      </c>
      <c r="J7" s="4" t="s">
        <v>265</v>
      </c>
      <c r="K7" s="4" t="s">
        <v>257</v>
      </c>
      <c r="L7" s="4" t="s">
        <v>266</v>
      </c>
      <c r="M7" s="5"/>
    </row>
    <row r="8" spans="1:13" ht="16" customHeight="1" x14ac:dyDescent="0.2">
      <c r="A8" s="4" t="s">
        <v>44</v>
      </c>
      <c r="B8" s="4" t="s">
        <v>267</v>
      </c>
      <c r="C8" s="4" t="s">
        <v>251</v>
      </c>
      <c r="D8" s="5" t="s">
        <v>252</v>
      </c>
      <c r="E8" s="5" t="s">
        <v>268</v>
      </c>
      <c r="F8" s="5" t="s">
        <v>269</v>
      </c>
      <c r="G8" s="4" t="s">
        <v>255</v>
      </c>
      <c r="H8" s="4" t="s">
        <v>255</v>
      </c>
      <c r="I8" s="4" t="s">
        <v>255</v>
      </c>
      <c r="J8" s="4" t="s">
        <v>256</v>
      </c>
      <c r="K8" s="4" t="s">
        <v>257</v>
      </c>
      <c r="L8" s="4" t="s">
        <v>47</v>
      </c>
      <c r="M8" s="5"/>
    </row>
    <row r="9" spans="1:13" ht="32" customHeight="1" x14ac:dyDescent="0.2">
      <c r="A9" s="4" t="s">
        <v>49</v>
      </c>
      <c r="B9" s="4" t="s">
        <v>270</v>
      </c>
      <c r="C9" s="4" t="s">
        <v>251</v>
      </c>
      <c r="D9" s="5" t="s">
        <v>271</v>
      </c>
      <c r="E9" s="5" t="s">
        <v>272</v>
      </c>
      <c r="F9" s="5" t="s">
        <v>273</v>
      </c>
      <c r="G9" s="4" t="s">
        <v>265</v>
      </c>
      <c r="H9" s="4" t="s">
        <v>274</v>
      </c>
      <c r="I9" s="4" t="s">
        <v>265</v>
      </c>
      <c r="J9" s="4" t="s">
        <v>255</v>
      </c>
      <c r="K9" s="4" t="s">
        <v>275</v>
      </c>
      <c r="L9" s="4" t="s">
        <v>52</v>
      </c>
      <c r="M9" s="5"/>
    </row>
    <row r="10" spans="1:13" ht="16" customHeight="1" x14ac:dyDescent="0.2">
      <c r="A10" s="4" t="s">
        <v>54</v>
      </c>
      <c r="B10" s="4" t="s">
        <v>276</v>
      </c>
      <c r="C10" s="4" t="s">
        <v>277</v>
      </c>
      <c r="D10" s="5" t="s">
        <v>278</v>
      </c>
      <c r="E10" s="5" t="s">
        <v>279</v>
      </c>
      <c r="F10" s="5" t="s">
        <v>280</v>
      </c>
      <c r="G10" s="4" t="s">
        <v>255</v>
      </c>
      <c r="H10" s="4" t="s">
        <v>255</v>
      </c>
      <c r="I10" s="4" t="s">
        <v>255</v>
      </c>
      <c r="J10" s="4" t="s">
        <v>256</v>
      </c>
      <c r="K10" s="4" t="s">
        <v>275</v>
      </c>
      <c r="L10" s="4"/>
      <c r="M10" s="5"/>
    </row>
    <row r="11" spans="1:13" ht="16" customHeight="1" x14ac:dyDescent="0.2">
      <c r="A11" s="4" t="s">
        <v>64</v>
      </c>
      <c r="B11" s="4" t="s">
        <v>281</v>
      </c>
      <c r="C11" s="4" t="s">
        <v>277</v>
      </c>
      <c r="D11" s="5" t="s">
        <v>278</v>
      </c>
      <c r="E11" s="5" t="s">
        <v>282</v>
      </c>
      <c r="F11" s="5" t="s">
        <v>283</v>
      </c>
      <c r="G11" s="4" t="s">
        <v>255</v>
      </c>
      <c r="H11" s="4" t="s">
        <v>255</v>
      </c>
      <c r="I11" s="4" t="s">
        <v>255</v>
      </c>
      <c r="J11" s="4" t="s">
        <v>256</v>
      </c>
      <c r="K11" s="4" t="s">
        <v>275</v>
      </c>
      <c r="L11" s="4"/>
      <c r="M11" s="5"/>
    </row>
    <row r="12" spans="1:13" ht="16" customHeight="1" x14ac:dyDescent="0.2">
      <c r="A12" s="4" t="s">
        <v>73</v>
      </c>
      <c r="B12" s="4" t="s">
        <v>284</v>
      </c>
      <c r="C12" s="4" t="s">
        <v>277</v>
      </c>
      <c r="D12" s="5" t="s">
        <v>278</v>
      </c>
      <c r="E12" s="5" t="s">
        <v>285</v>
      </c>
      <c r="F12" s="5" t="s">
        <v>286</v>
      </c>
      <c r="G12" s="4" t="s">
        <v>255</v>
      </c>
      <c r="H12" s="4" t="s">
        <v>255</v>
      </c>
      <c r="I12" s="4" t="s">
        <v>265</v>
      </c>
      <c r="J12" s="4" t="s">
        <v>256</v>
      </c>
      <c r="K12" s="4" t="s">
        <v>275</v>
      </c>
      <c r="L12" s="4"/>
      <c r="M12" s="5"/>
    </row>
    <row r="13" spans="1:13" ht="16" customHeight="1" x14ac:dyDescent="0.2">
      <c r="A13" s="4" t="s">
        <v>76</v>
      </c>
      <c r="B13" s="4" t="s">
        <v>287</v>
      </c>
      <c r="C13" s="4" t="s">
        <v>277</v>
      </c>
      <c r="D13" s="5" t="s">
        <v>278</v>
      </c>
      <c r="E13" s="5" t="s">
        <v>288</v>
      </c>
      <c r="F13" s="5" t="s">
        <v>289</v>
      </c>
      <c r="G13" s="4" t="s">
        <v>255</v>
      </c>
      <c r="H13" s="4" t="s">
        <v>255</v>
      </c>
      <c r="I13" s="4" t="s">
        <v>265</v>
      </c>
      <c r="J13" s="4" t="s">
        <v>255</v>
      </c>
      <c r="K13" s="4" t="s">
        <v>275</v>
      </c>
      <c r="L13" s="4"/>
      <c r="M13" s="5"/>
    </row>
    <row r="14" spans="1:13" ht="16" customHeight="1" x14ac:dyDescent="0.2">
      <c r="A14" s="4" t="s">
        <v>79</v>
      </c>
      <c r="B14" s="4" t="s">
        <v>290</v>
      </c>
      <c r="C14" s="4" t="s">
        <v>277</v>
      </c>
      <c r="D14" s="5" t="s">
        <v>278</v>
      </c>
      <c r="E14" s="5" t="s">
        <v>291</v>
      </c>
      <c r="F14" s="5" t="s">
        <v>292</v>
      </c>
      <c r="G14" s="4" t="s">
        <v>255</v>
      </c>
      <c r="H14" s="4" t="s">
        <v>255</v>
      </c>
      <c r="I14" s="4" t="s">
        <v>265</v>
      </c>
      <c r="J14" s="4" t="s">
        <v>256</v>
      </c>
      <c r="K14" s="4" t="s">
        <v>275</v>
      </c>
      <c r="L14" s="4" t="s">
        <v>293</v>
      </c>
      <c r="M14" s="5"/>
    </row>
    <row r="15" spans="1:13" ht="16" customHeight="1" x14ac:dyDescent="0.2">
      <c r="A15" s="4" t="s">
        <v>82</v>
      </c>
      <c r="B15" s="4" t="s">
        <v>294</v>
      </c>
      <c r="C15" s="4" t="s">
        <v>277</v>
      </c>
      <c r="D15" s="5" t="s">
        <v>278</v>
      </c>
      <c r="E15" s="5" t="s">
        <v>295</v>
      </c>
      <c r="F15" s="5" t="s">
        <v>296</v>
      </c>
      <c r="G15" s="4" t="s">
        <v>265</v>
      </c>
      <c r="H15" s="4" t="s">
        <v>255</v>
      </c>
      <c r="I15" s="4" t="s">
        <v>265</v>
      </c>
      <c r="J15" s="4" t="s">
        <v>255</v>
      </c>
      <c r="K15" s="4" t="s">
        <v>275</v>
      </c>
      <c r="L15" s="4"/>
      <c r="M15" s="5"/>
    </row>
    <row r="16" spans="1:13" ht="16" customHeight="1" x14ac:dyDescent="0.2">
      <c r="A16" s="4" t="s">
        <v>83</v>
      </c>
      <c r="B16" s="4" t="s">
        <v>297</v>
      </c>
      <c r="C16" s="4" t="s">
        <v>277</v>
      </c>
      <c r="D16" s="5" t="s">
        <v>278</v>
      </c>
      <c r="E16" s="5" t="s">
        <v>298</v>
      </c>
      <c r="F16" s="5" t="s">
        <v>299</v>
      </c>
      <c r="G16" s="4" t="s">
        <v>265</v>
      </c>
      <c r="H16" s="4" t="s">
        <v>255</v>
      </c>
      <c r="I16" s="4" t="s">
        <v>265</v>
      </c>
      <c r="J16" s="4" t="s">
        <v>255</v>
      </c>
      <c r="K16" s="4" t="s">
        <v>275</v>
      </c>
      <c r="L16" s="4"/>
      <c r="M16" s="5"/>
    </row>
    <row r="17" spans="1:13" ht="16" customHeight="1" x14ac:dyDescent="0.2">
      <c r="A17" s="4" t="s">
        <v>84</v>
      </c>
      <c r="B17" s="4" t="s">
        <v>300</v>
      </c>
      <c r="C17" s="4" t="s">
        <v>277</v>
      </c>
      <c r="D17" s="5" t="s">
        <v>301</v>
      </c>
      <c r="E17" s="5" t="s">
        <v>302</v>
      </c>
      <c r="F17" s="5" t="s">
        <v>303</v>
      </c>
      <c r="G17" s="4" t="s">
        <v>255</v>
      </c>
      <c r="H17" s="4" t="s">
        <v>255</v>
      </c>
      <c r="I17" s="4" t="s">
        <v>255</v>
      </c>
      <c r="J17" s="4" t="s">
        <v>256</v>
      </c>
      <c r="K17" s="4" t="s">
        <v>275</v>
      </c>
      <c r="L17" s="4"/>
      <c r="M17" s="5"/>
    </row>
    <row r="18" spans="1:13" ht="16" customHeight="1" x14ac:dyDescent="0.2">
      <c r="A18" s="4" t="s">
        <v>92</v>
      </c>
      <c r="B18" s="4" t="s">
        <v>304</v>
      </c>
      <c r="C18" s="4" t="s">
        <v>277</v>
      </c>
      <c r="D18" s="5" t="s">
        <v>301</v>
      </c>
      <c r="E18" s="5" t="s">
        <v>305</v>
      </c>
      <c r="F18" s="5" t="s">
        <v>306</v>
      </c>
      <c r="G18" s="4" t="s">
        <v>255</v>
      </c>
      <c r="H18" s="4" t="s">
        <v>255</v>
      </c>
      <c r="I18" s="4" t="s">
        <v>265</v>
      </c>
      <c r="J18" s="4" t="s">
        <v>255</v>
      </c>
      <c r="K18" s="4" t="s">
        <v>275</v>
      </c>
      <c r="L18" s="4"/>
      <c r="M18" s="5"/>
    </row>
    <row r="19" spans="1:13" ht="16" customHeight="1" x14ac:dyDescent="0.2">
      <c r="A19" s="4" t="s">
        <v>96</v>
      </c>
      <c r="B19" s="4" t="s">
        <v>307</v>
      </c>
      <c r="C19" s="4" t="s">
        <v>277</v>
      </c>
      <c r="D19" s="5" t="s">
        <v>301</v>
      </c>
      <c r="E19" s="5" t="s">
        <v>308</v>
      </c>
      <c r="F19" s="5" t="s">
        <v>309</v>
      </c>
      <c r="G19" s="4" t="s">
        <v>255</v>
      </c>
      <c r="H19" s="4" t="s">
        <v>265</v>
      </c>
      <c r="I19" s="4" t="s">
        <v>255</v>
      </c>
      <c r="J19" s="4" t="s">
        <v>255</v>
      </c>
      <c r="K19" s="4" t="s">
        <v>310</v>
      </c>
      <c r="L19" s="4"/>
      <c r="M19" s="5"/>
    </row>
    <row r="20" spans="1:13" ht="16" customHeight="1" x14ac:dyDescent="0.2">
      <c r="A20" s="4" t="s">
        <v>97</v>
      </c>
      <c r="B20" s="4" t="s">
        <v>311</v>
      </c>
      <c r="C20" s="4" t="s">
        <v>277</v>
      </c>
      <c r="D20" s="5" t="s">
        <v>301</v>
      </c>
      <c r="E20" s="5" t="s">
        <v>312</v>
      </c>
      <c r="F20" s="5" t="s">
        <v>306</v>
      </c>
      <c r="G20" s="4" t="s">
        <v>265</v>
      </c>
      <c r="H20" s="4" t="s">
        <v>265</v>
      </c>
      <c r="I20" s="4" t="s">
        <v>274</v>
      </c>
      <c r="J20" s="4" t="s">
        <v>265</v>
      </c>
      <c r="K20" s="4" t="s">
        <v>275</v>
      </c>
      <c r="L20" s="4"/>
      <c r="M20" s="5"/>
    </row>
    <row r="21" spans="1:13" ht="16" customHeight="1" x14ac:dyDescent="0.2">
      <c r="A21" s="4" t="s">
        <v>98</v>
      </c>
      <c r="B21" s="4" t="s">
        <v>313</v>
      </c>
      <c r="C21" s="4" t="s">
        <v>277</v>
      </c>
      <c r="D21" s="5" t="s">
        <v>301</v>
      </c>
      <c r="E21" s="5" t="s">
        <v>314</v>
      </c>
      <c r="F21" s="5" t="s">
        <v>315</v>
      </c>
      <c r="G21" s="4" t="s">
        <v>255</v>
      </c>
      <c r="H21" s="4" t="s">
        <v>255</v>
      </c>
      <c r="I21" s="4" t="s">
        <v>255</v>
      </c>
      <c r="J21" s="4" t="s">
        <v>256</v>
      </c>
      <c r="K21" s="4" t="s">
        <v>275</v>
      </c>
      <c r="L21" s="4" t="s">
        <v>293</v>
      </c>
      <c r="M21" s="5"/>
    </row>
    <row r="22" spans="1:13" ht="16" customHeight="1" x14ac:dyDescent="0.2">
      <c r="A22" s="4" t="s">
        <v>108</v>
      </c>
      <c r="B22" s="4" t="s">
        <v>316</v>
      </c>
      <c r="C22" s="4" t="s">
        <v>277</v>
      </c>
      <c r="D22" s="5" t="s">
        <v>301</v>
      </c>
      <c r="E22" s="5" t="s">
        <v>317</v>
      </c>
      <c r="F22" s="5" t="s">
        <v>318</v>
      </c>
      <c r="G22" s="4" t="s">
        <v>255</v>
      </c>
      <c r="H22" s="4" t="s">
        <v>255</v>
      </c>
      <c r="I22" s="4" t="s">
        <v>255</v>
      </c>
      <c r="J22" s="4" t="s">
        <v>256</v>
      </c>
      <c r="K22" s="4" t="s">
        <v>275</v>
      </c>
      <c r="L22" s="4"/>
      <c r="M22" s="5"/>
    </row>
    <row r="23" spans="1:13" ht="16" customHeight="1" x14ac:dyDescent="0.2">
      <c r="A23" s="4" t="s">
        <v>117</v>
      </c>
      <c r="B23" s="4" t="s">
        <v>319</v>
      </c>
      <c r="C23" s="4" t="s">
        <v>277</v>
      </c>
      <c r="D23" s="5" t="s">
        <v>301</v>
      </c>
      <c r="E23" s="5" t="s">
        <v>320</v>
      </c>
      <c r="F23" s="5" t="s">
        <v>321</v>
      </c>
      <c r="G23" s="4" t="s">
        <v>265</v>
      </c>
      <c r="H23" s="4" t="s">
        <v>265</v>
      </c>
      <c r="I23" s="4" t="s">
        <v>265</v>
      </c>
      <c r="J23" s="4" t="s">
        <v>265</v>
      </c>
      <c r="K23" s="4" t="s">
        <v>310</v>
      </c>
      <c r="L23" s="4"/>
      <c r="M23" s="5"/>
    </row>
    <row r="24" spans="1:13" ht="16" customHeight="1" x14ac:dyDescent="0.2">
      <c r="A24" s="4" t="s">
        <v>118</v>
      </c>
      <c r="B24" s="4" t="s">
        <v>322</v>
      </c>
      <c r="C24" s="4" t="s">
        <v>277</v>
      </c>
      <c r="D24" s="5" t="s">
        <v>323</v>
      </c>
      <c r="E24" s="5" t="s">
        <v>324</v>
      </c>
      <c r="F24" s="5" t="s">
        <v>325</v>
      </c>
      <c r="G24" s="4" t="s">
        <v>255</v>
      </c>
      <c r="H24" s="4" t="s">
        <v>255</v>
      </c>
      <c r="I24" s="4" t="s">
        <v>255</v>
      </c>
      <c r="J24" s="4" t="s">
        <v>256</v>
      </c>
      <c r="K24" s="4" t="s">
        <v>310</v>
      </c>
      <c r="L24" s="4"/>
      <c r="M24" s="5"/>
    </row>
    <row r="25" spans="1:13" ht="16" customHeight="1" x14ac:dyDescent="0.2">
      <c r="A25" s="4" t="s">
        <v>120</v>
      </c>
      <c r="B25" s="4" t="s">
        <v>326</v>
      </c>
      <c r="C25" s="4" t="s">
        <v>277</v>
      </c>
      <c r="D25" s="5" t="s">
        <v>323</v>
      </c>
      <c r="E25" s="5" t="s">
        <v>327</v>
      </c>
      <c r="F25" s="5" t="s">
        <v>328</v>
      </c>
      <c r="G25" s="4" t="s">
        <v>265</v>
      </c>
      <c r="H25" s="4" t="s">
        <v>255</v>
      </c>
      <c r="I25" s="4" t="s">
        <v>255</v>
      </c>
      <c r="J25" s="4" t="s">
        <v>255</v>
      </c>
      <c r="K25" s="4" t="s">
        <v>310</v>
      </c>
      <c r="L25" s="4"/>
      <c r="M25" s="5"/>
    </row>
    <row r="26" spans="1:13" ht="16" customHeight="1" x14ac:dyDescent="0.2">
      <c r="A26" s="4" t="s">
        <v>121</v>
      </c>
      <c r="B26" s="4" t="s">
        <v>329</v>
      </c>
      <c r="C26" s="4" t="s">
        <v>277</v>
      </c>
      <c r="D26" s="5" t="s">
        <v>323</v>
      </c>
      <c r="E26" s="5" t="s">
        <v>330</v>
      </c>
      <c r="F26" s="5" t="s">
        <v>331</v>
      </c>
      <c r="G26" s="4" t="s">
        <v>265</v>
      </c>
      <c r="H26" s="4" t="s">
        <v>255</v>
      </c>
      <c r="I26" s="4" t="s">
        <v>274</v>
      </c>
      <c r="J26" s="4" t="s">
        <v>265</v>
      </c>
      <c r="K26" s="4" t="s">
        <v>275</v>
      </c>
      <c r="L26" s="4"/>
      <c r="M26" s="5"/>
    </row>
    <row r="27" spans="1:13" ht="16" customHeight="1" x14ac:dyDescent="0.2">
      <c r="A27" s="4" t="s">
        <v>122</v>
      </c>
      <c r="B27" s="4" t="s">
        <v>332</v>
      </c>
      <c r="C27" s="4" t="s">
        <v>277</v>
      </c>
      <c r="D27" s="5" t="s">
        <v>323</v>
      </c>
      <c r="E27" s="5" t="s">
        <v>333</v>
      </c>
      <c r="F27" s="5" t="s">
        <v>334</v>
      </c>
      <c r="G27" s="4" t="s">
        <v>274</v>
      </c>
      <c r="H27" s="4" t="s">
        <v>274</v>
      </c>
      <c r="I27" s="4" t="s">
        <v>274</v>
      </c>
      <c r="J27" s="4" t="s">
        <v>274</v>
      </c>
      <c r="K27" s="4" t="s">
        <v>275</v>
      </c>
      <c r="L27" s="4"/>
      <c r="M27" s="5"/>
    </row>
    <row r="28" spans="1:13" ht="16" customHeight="1" x14ac:dyDescent="0.2">
      <c r="A28" s="4" t="s">
        <v>123</v>
      </c>
      <c r="B28" s="4" t="s">
        <v>335</v>
      </c>
      <c r="C28" s="4" t="s">
        <v>277</v>
      </c>
      <c r="D28" s="5" t="s">
        <v>323</v>
      </c>
      <c r="E28" s="5" t="s">
        <v>336</v>
      </c>
      <c r="F28" s="5" t="s">
        <v>337</v>
      </c>
      <c r="G28" s="4" t="s">
        <v>274</v>
      </c>
      <c r="H28" s="4" t="s">
        <v>265</v>
      </c>
      <c r="I28" s="4" t="s">
        <v>274</v>
      </c>
      <c r="J28" s="4" t="s">
        <v>274</v>
      </c>
      <c r="K28" s="4" t="s">
        <v>275</v>
      </c>
      <c r="L28" s="4"/>
      <c r="M28" s="5"/>
    </row>
    <row r="29" spans="1:13" ht="16" customHeight="1" x14ac:dyDescent="0.2">
      <c r="A29" s="4" t="s">
        <v>124</v>
      </c>
      <c r="B29" s="4" t="s">
        <v>338</v>
      </c>
      <c r="C29" s="4" t="s">
        <v>277</v>
      </c>
      <c r="D29" s="5" t="s">
        <v>323</v>
      </c>
      <c r="E29" s="5" t="s">
        <v>339</v>
      </c>
      <c r="F29" s="5" t="s">
        <v>340</v>
      </c>
      <c r="G29" s="4" t="s">
        <v>274</v>
      </c>
      <c r="H29" s="4" t="s">
        <v>274</v>
      </c>
      <c r="I29" s="4" t="s">
        <v>274</v>
      </c>
      <c r="J29" s="4" t="s">
        <v>274</v>
      </c>
      <c r="K29" s="4" t="s">
        <v>275</v>
      </c>
      <c r="L29" s="4"/>
      <c r="M29" s="5"/>
    </row>
    <row r="30" spans="1:13" ht="16" customHeight="1" x14ac:dyDescent="0.2">
      <c r="A30" s="4" t="s">
        <v>125</v>
      </c>
      <c r="B30" s="4" t="s">
        <v>341</v>
      </c>
      <c r="C30" s="4" t="s">
        <v>277</v>
      </c>
      <c r="D30" s="5" t="s">
        <v>323</v>
      </c>
      <c r="E30" s="5" t="s">
        <v>342</v>
      </c>
      <c r="F30" s="5" t="s">
        <v>343</v>
      </c>
      <c r="G30" s="4" t="s">
        <v>265</v>
      </c>
      <c r="H30" s="4" t="s">
        <v>274</v>
      </c>
      <c r="I30" s="4" t="s">
        <v>274</v>
      </c>
      <c r="J30" s="4" t="s">
        <v>265</v>
      </c>
      <c r="K30" s="4" t="s">
        <v>275</v>
      </c>
      <c r="L30" s="4"/>
      <c r="M30" s="5"/>
    </row>
    <row r="31" spans="1:13" ht="16" customHeight="1" x14ac:dyDescent="0.2">
      <c r="A31" s="4" t="s">
        <v>126</v>
      </c>
      <c r="B31" s="4" t="s">
        <v>344</v>
      </c>
      <c r="C31" s="4" t="s">
        <v>277</v>
      </c>
      <c r="D31" s="5" t="s">
        <v>323</v>
      </c>
      <c r="E31" s="5" t="s">
        <v>345</v>
      </c>
      <c r="F31" s="5" t="s">
        <v>346</v>
      </c>
      <c r="G31" s="4" t="s">
        <v>265</v>
      </c>
      <c r="H31" s="4" t="s">
        <v>274</v>
      </c>
      <c r="I31" s="4" t="s">
        <v>274</v>
      </c>
      <c r="J31" s="4" t="s">
        <v>265</v>
      </c>
      <c r="K31" s="4" t="s">
        <v>275</v>
      </c>
      <c r="L31" s="4"/>
      <c r="M31" s="5"/>
    </row>
    <row r="32" spans="1:13" ht="16" customHeight="1" x14ac:dyDescent="0.2">
      <c r="A32" s="4" t="s">
        <v>127</v>
      </c>
      <c r="B32" s="4" t="s">
        <v>347</v>
      </c>
      <c r="C32" s="4" t="s">
        <v>277</v>
      </c>
      <c r="D32" s="5" t="s">
        <v>323</v>
      </c>
      <c r="E32" s="5" t="s">
        <v>348</v>
      </c>
      <c r="F32" s="5" t="s">
        <v>349</v>
      </c>
      <c r="G32" s="4" t="s">
        <v>274</v>
      </c>
      <c r="H32" s="4" t="s">
        <v>274</v>
      </c>
      <c r="I32" s="4" t="s">
        <v>274</v>
      </c>
      <c r="J32" s="4" t="s">
        <v>274</v>
      </c>
      <c r="K32" s="4" t="s">
        <v>275</v>
      </c>
      <c r="L32" s="4"/>
      <c r="M32" s="5"/>
    </row>
    <row r="33" spans="1:13" ht="16" customHeight="1" x14ac:dyDescent="0.2">
      <c r="A33" s="4" t="s">
        <v>128</v>
      </c>
      <c r="B33" s="4" t="s">
        <v>350</v>
      </c>
      <c r="C33" s="4" t="s">
        <v>277</v>
      </c>
      <c r="D33" s="5" t="s">
        <v>323</v>
      </c>
      <c r="E33" s="5" t="s">
        <v>351</v>
      </c>
      <c r="F33" s="5" t="s">
        <v>352</v>
      </c>
      <c r="G33" s="4" t="s">
        <v>255</v>
      </c>
      <c r="H33" s="4" t="s">
        <v>255</v>
      </c>
      <c r="I33" s="4" t="s">
        <v>265</v>
      </c>
      <c r="J33" s="4" t="s">
        <v>255</v>
      </c>
      <c r="K33" s="4" t="s">
        <v>275</v>
      </c>
      <c r="L33" s="4"/>
      <c r="M33" s="5"/>
    </row>
    <row r="34" spans="1:13" ht="16" customHeight="1" x14ac:dyDescent="0.2">
      <c r="A34" s="4" t="s">
        <v>129</v>
      </c>
      <c r="B34" s="4" t="s">
        <v>353</v>
      </c>
      <c r="C34" s="4" t="s">
        <v>277</v>
      </c>
      <c r="D34" s="5" t="s">
        <v>354</v>
      </c>
      <c r="E34" s="5" t="s">
        <v>355</v>
      </c>
      <c r="F34" s="5" t="s">
        <v>356</v>
      </c>
      <c r="G34" s="4" t="s">
        <v>255</v>
      </c>
      <c r="H34" s="4" t="s">
        <v>255</v>
      </c>
      <c r="I34" s="4" t="s">
        <v>265</v>
      </c>
      <c r="J34" s="4" t="s">
        <v>255</v>
      </c>
      <c r="K34" s="4" t="s">
        <v>275</v>
      </c>
      <c r="L34" s="4"/>
      <c r="M34" s="5"/>
    </row>
    <row r="35" spans="1:13" ht="16" customHeight="1" x14ac:dyDescent="0.2">
      <c r="A35" s="4" t="s">
        <v>130</v>
      </c>
      <c r="B35" s="4" t="s">
        <v>357</v>
      </c>
      <c r="C35" s="4" t="s">
        <v>277</v>
      </c>
      <c r="D35" s="5" t="s">
        <v>354</v>
      </c>
      <c r="E35" s="5" t="s">
        <v>358</v>
      </c>
      <c r="F35" s="5" t="s">
        <v>359</v>
      </c>
      <c r="G35" s="4" t="s">
        <v>255</v>
      </c>
      <c r="H35" s="4" t="s">
        <v>265</v>
      </c>
      <c r="I35" s="4" t="s">
        <v>265</v>
      </c>
      <c r="J35" s="4" t="s">
        <v>255</v>
      </c>
      <c r="K35" s="4" t="s">
        <v>275</v>
      </c>
      <c r="L35" s="4"/>
      <c r="M35" s="5"/>
    </row>
    <row r="36" spans="1:13" ht="16" customHeight="1" x14ac:dyDescent="0.2">
      <c r="A36" s="4" t="s">
        <v>131</v>
      </c>
      <c r="B36" s="4" t="s">
        <v>360</v>
      </c>
      <c r="C36" s="4" t="s">
        <v>277</v>
      </c>
      <c r="D36" s="5" t="s">
        <v>354</v>
      </c>
      <c r="E36" s="5" t="s">
        <v>361</v>
      </c>
      <c r="F36" s="5" t="s">
        <v>362</v>
      </c>
      <c r="G36" s="4" t="s">
        <v>255</v>
      </c>
      <c r="H36" s="4" t="s">
        <v>255</v>
      </c>
      <c r="I36" s="4" t="s">
        <v>265</v>
      </c>
      <c r="J36" s="4" t="s">
        <v>255</v>
      </c>
      <c r="K36" s="4" t="s">
        <v>275</v>
      </c>
      <c r="L36" s="4"/>
      <c r="M36" s="5"/>
    </row>
    <row r="37" spans="1:13" ht="16" customHeight="1" x14ac:dyDescent="0.2">
      <c r="A37" s="4" t="s">
        <v>132</v>
      </c>
      <c r="B37" s="4" t="s">
        <v>363</v>
      </c>
      <c r="C37" s="4" t="s">
        <v>277</v>
      </c>
      <c r="D37" s="5" t="s">
        <v>354</v>
      </c>
      <c r="E37" s="5" t="s">
        <v>364</v>
      </c>
      <c r="F37" s="5" t="s">
        <v>362</v>
      </c>
      <c r="G37" s="4" t="s">
        <v>255</v>
      </c>
      <c r="H37" s="4" t="s">
        <v>255</v>
      </c>
      <c r="I37" s="4" t="s">
        <v>265</v>
      </c>
      <c r="J37" s="4" t="s">
        <v>255</v>
      </c>
      <c r="K37" s="4" t="s">
        <v>275</v>
      </c>
      <c r="L37" s="4"/>
      <c r="M37" s="5"/>
    </row>
    <row r="38" spans="1:13" ht="16" customHeight="1" x14ac:dyDescent="0.2">
      <c r="A38" s="4" t="s">
        <v>133</v>
      </c>
      <c r="B38" s="4" t="s">
        <v>365</v>
      </c>
      <c r="C38" s="4" t="s">
        <v>277</v>
      </c>
      <c r="D38" s="5" t="s">
        <v>354</v>
      </c>
      <c r="E38" s="5" t="s">
        <v>366</v>
      </c>
      <c r="F38" s="5" t="s">
        <v>367</v>
      </c>
      <c r="G38" s="4" t="s">
        <v>255</v>
      </c>
      <c r="H38" s="4" t="s">
        <v>255</v>
      </c>
      <c r="I38" s="4" t="s">
        <v>255</v>
      </c>
      <c r="J38" s="4" t="s">
        <v>256</v>
      </c>
      <c r="K38" s="4" t="s">
        <v>275</v>
      </c>
      <c r="L38" s="4"/>
      <c r="M38" s="5"/>
    </row>
    <row r="39" spans="1:13" ht="16" customHeight="1" x14ac:dyDescent="0.2">
      <c r="A39" s="4" t="s">
        <v>137</v>
      </c>
      <c r="B39" s="4" t="s">
        <v>368</v>
      </c>
      <c r="C39" s="4" t="s">
        <v>277</v>
      </c>
      <c r="D39" s="5" t="s">
        <v>354</v>
      </c>
      <c r="E39" s="5" t="s">
        <v>369</v>
      </c>
      <c r="F39" s="5" t="s">
        <v>370</v>
      </c>
      <c r="G39" s="4" t="s">
        <v>255</v>
      </c>
      <c r="H39" s="4" t="s">
        <v>255</v>
      </c>
      <c r="I39" s="4" t="s">
        <v>255</v>
      </c>
      <c r="J39" s="4" t="s">
        <v>256</v>
      </c>
      <c r="K39" s="4" t="s">
        <v>275</v>
      </c>
      <c r="L39" s="4"/>
      <c r="M39" s="5"/>
    </row>
    <row r="40" spans="1:13" ht="16" customHeight="1" x14ac:dyDescent="0.2">
      <c r="A40" s="4" t="s">
        <v>141</v>
      </c>
      <c r="B40" s="4" t="s">
        <v>371</v>
      </c>
      <c r="C40" s="4" t="s">
        <v>277</v>
      </c>
      <c r="D40" s="5" t="s">
        <v>354</v>
      </c>
      <c r="E40" s="5" t="s">
        <v>372</v>
      </c>
      <c r="F40" s="5" t="s">
        <v>373</v>
      </c>
      <c r="G40" s="4" t="s">
        <v>265</v>
      </c>
      <c r="H40" s="4" t="s">
        <v>274</v>
      </c>
      <c r="I40" s="4" t="s">
        <v>265</v>
      </c>
      <c r="J40" s="4" t="s">
        <v>265</v>
      </c>
      <c r="K40" s="4" t="s">
        <v>275</v>
      </c>
      <c r="L40" s="4"/>
      <c r="M40" s="5"/>
    </row>
    <row r="41" spans="1:13" ht="16" customHeight="1" x14ac:dyDescent="0.2">
      <c r="A41" s="4" t="s">
        <v>142</v>
      </c>
      <c r="B41" s="4" t="s">
        <v>374</v>
      </c>
      <c r="C41" s="4" t="s">
        <v>277</v>
      </c>
      <c r="D41" s="5" t="s">
        <v>375</v>
      </c>
      <c r="E41" s="5" t="s">
        <v>376</v>
      </c>
      <c r="F41" s="5" t="s">
        <v>377</v>
      </c>
      <c r="G41" s="4" t="s">
        <v>265</v>
      </c>
      <c r="H41" s="4" t="s">
        <v>265</v>
      </c>
      <c r="I41" s="4" t="s">
        <v>274</v>
      </c>
      <c r="J41" s="4" t="s">
        <v>265</v>
      </c>
      <c r="K41" s="4" t="s">
        <v>275</v>
      </c>
      <c r="L41" s="4"/>
      <c r="M41" s="5"/>
    </row>
    <row r="42" spans="1:13" ht="16" customHeight="1" x14ac:dyDescent="0.2">
      <c r="A42" s="4" t="s">
        <v>143</v>
      </c>
      <c r="B42" s="4" t="s">
        <v>378</v>
      </c>
      <c r="C42" s="4" t="s">
        <v>277</v>
      </c>
      <c r="D42" s="5" t="s">
        <v>375</v>
      </c>
      <c r="E42" s="5" t="s">
        <v>379</v>
      </c>
      <c r="F42" s="5" t="s">
        <v>380</v>
      </c>
      <c r="G42" s="4" t="s">
        <v>265</v>
      </c>
      <c r="H42" s="4" t="s">
        <v>265</v>
      </c>
      <c r="I42" s="4" t="s">
        <v>274</v>
      </c>
      <c r="J42" s="4" t="s">
        <v>265</v>
      </c>
      <c r="K42" s="4" t="s">
        <v>275</v>
      </c>
      <c r="L42" s="4"/>
      <c r="M42" s="5"/>
    </row>
    <row r="43" spans="1:13" ht="16" customHeight="1" x14ac:dyDescent="0.2">
      <c r="A43" s="4" t="s">
        <v>144</v>
      </c>
      <c r="B43" s="4" t="s">
        <v>381</v>
      </c>
      <c r="C43" s="4" t="s">
        <v>277</v>
      </c>
      <c r="D43" s="5" t="s">
        <v>375</v>
      </c>
      <c r="E43" s="5" t="s">
        <v>382</v>
      </c>
      <c r="F43" s="5" t="s">
        <v>383</v>
      </c>
      <c r="G43" s="4" t="s">
        <v>265</v>
      </c>
      <c r="H43" s="4" t="s">
        <v>274</v>
      </c>
      <c r="I43" s="4" t="s">
        <v>274</v>
      </c>
      <c r="J43" s="4" t="s">
        <v>274</v>
      </c>
      <c r="K43" s="4" t="s">
        <v>275</v>
      </c>
      <c r="L43" s="4"/>
      <c r="M43" s="5"/>
    </row>
    <row r="44" spans="1:13" ht="16" customHeight="1" x14ac:dyDescent="0.2">
      <c r="A44" s="4" t="s">
        <v>145</v>
      </c>
      <c r="B44" s="4" t="s">
        <v>384</v>
      </c>
      <c r="C44" s="4" t="s">
        <v>277</v>
      </c>
      <c r="D44" s="5" t="s">
        <v>375</v>
      </c>
      <c r="E44" s="5" t="s">
        <v>385</v>
      </c>
      <c r="F44" s="5" t="s">
        <v>386</v>
      </c>
      <c r="G44" s="4" t="s">
        <v>255</v>
      </c>
      <c r="H44" s="4" t="s">
        <v>255</v>
      </c>
      <c r="I44" s="4" t="s">
        <v>265</v>
      </c>
      <c r="J44" s="4" t="s">
        <v>255</v>
      </c>
      <c r="K44" s="4" t="s">
        <v>275</v>
      </c>
      <c r="L44" s="4"/>
      <c r="M44" s="5"/>
    </row>
    <row r="45" spans="1:13" ht="16" customHeight="1" x14ac:dyDescent="0.2">
      <c r="A45" s="4" t="s">
        <v>148</v>
      </c>
      <c r="B45" s="4" t="s">
        <v>387</v>
      </c>
      <c r="C45" s="4" t="s">
        <v>277</v>
      </c>
      <c r="D45" s="5" t="s">
        <v>375</v>
      </c>
      <c r="E45" s="5" t="s">
        <v>388</v>
      </c>
      <c r="F45" s="5" t="s">
        <v>389</v>
      </c>
      <c r="G45" s="4" t="s">
        <v>274</v>
      </c>
      <c r="H45" s="4" t="s">
        <v>274</v>
      </c>
      <c r="I45" s="4" t="s">
        <v>274</v>
      </c>
      <c r="J45" s="4" t="s">
        <v>274</v>
      </c>
      <c r="K45" s="4" t="s">
        <v>275</v>
      </c>
      <c r="L45" s="4"/>
      <c r="M45" s="5"/>
    </row>
    <row r="46" spans="1:13" ht="16" customHeight="1" x14ac:dyDescent="0.2">
      <c r="A46" s="4" t="s">
        <v>149</v>
      </c>
      <c r="B46" s="4" t="s">
        <v>390</v>
      </c>
      <c r="C46" s="4" t="s">
        <v>277</v>
      </c>
      <c r="D46" s="5" t="s">
        <v>375</v>
      </c>
      <c r="E46" s="5" t="s">
        <v>391</v>
      </c>
      <c r="F46" s="5" t="s">
        <v>392</v>
      </c>
      <c r="G46" s="4" t="s">
        <v>274</v>
      </c>
      <c r="H46" s="4" t="s">
        <v>274</v>
      </c>
      <c r="I46" s="4" t="s">
        <v>274</v>
      </c>
      <c r="J46" s="4" t="s">
        <v>274</v>
      </c>
      <c r="K46" s="4" t="s">
        <v>275</v>
      </c>
      <c r="L46" s="4"/>
      <c r="M46" s="5"/>
    </row>
    <row r="47" spans="1:13" ht="16" customHeight="1" x14ac:dyDescent="0.2">
      <c r="A47" s="4" t="s">
        <v>152</v>
      </c>
      <c r="B47" s="4" t="s">
        <v>393</v>
      </c>
      <c r="C47" s="4" t="s">
        <v>277</v>
      </c>
      <c r="D47" s="5" t="s">
        <v>394</v>
      </c>
      <c r="E47" s="5" t="s">
        <v>395</v>
      </c>
      <c r="F47" s="5" t="s">
        <v>396</v>
      </c>
      <c r="G47" s="4" t="s">
        <v>255</v>
      </c>
      <c r="H47" s="4" t="s">
        <v>255</v>
      </c>
      <c r="I47" s="4" t="s">
        <v>255</v>
      </c>
      <c r="J47" s="4" t="s">
        <v>256</v>
      </c>
      <c r="K47" s="4" t="s">
        <v>275</v>
      </c>
      <c r="L47" s="4" t="s">
        <v>397</v>
      </c>
      <c r="M47" s="5"/>
    </row>
    <row r="48" spans="1:13" ht="16" customHeight="1" x14ac:dyDescent="0.2">
      <c r="A48" s="4" t="s">
        <v>156</v>
      </c>
      <c r="B48" s="4" t="s">
        <v>398</v>
      </c>
      <c r="C48" s="4" t="s">
        <v>277</v>
      </c>
      <c r="D48" s="5" t="s">
        <v>394</v>
      </c>
      <c r="E48" s="5" t="s">
        <v>399</v>
      </c>
      <c r="F48" s="5" t="s">
        <v>400</v>
      </c>
      <c r="G48" s="4" t="s">
        <v>265</v>
      </c>
      <c r="H48" s="4" t="s">
        <v>265</v>
      </c>
      <c r="I48" s="4" t="s">
        <v>274</v>
      </c>
      <c r="J48" s="4" t="s">
        <v>265</v>
      </c>
      <c r="K48" s="4" t="s">
        <v>310</v>
      </c>
      <c r="L48" s="4"/>
      <c r="M48" s="5"/>
    </row>
    <row r="49" spans="1:13" ht="16" customHeight="1" x14ac:dyDescent="0.2">
      <c r="A49" s="4" t="s">
        <v>157</v>
      </c>
      <c r="B49" s="4" t="s">
        <v>401</v>
      </c>
      <c r="C49" s="4" t="s">
        <v>277</v>
      </c>
      <c r="D49" s="5" t="s">
        <v>402</v>
      </c>
      <c r="E49" s="5" t="s">
        <v>403</v>
      </c>
      <c r="F49" s="5" t="s">
        <v>404</v>
      </c>
      <c r="G49" s="4" t="s">
        <v>265</v>
      </c>
      <c r="H49" s="4" t="s">
        <v>265</v>
      </c>
      <c r="I49" s="4" t="s">
        <v>274</v>
      </c>
      <c r="J49" s="4" t="s">
        <v>265</v>
      </c>
      <c r="K49" s="4" t="s">
        <v>275</v>
      </c>
      <c r="L49" s="4"/>
      <c r="M49" s="5"/>
    </row>
    <row r="50" spans="1:13" ht="16" customHeight="1" x14ac:dyDescent="0.2">
      <c r="A50" s="4" t="s">
        <v>158</v>
      </c>
      <c r="B50" s="4" t="s">
        <v>405</v>
      </c>
      <c r="C50" s="4" t="s">
        <v>406</v>
      </c>
      <c r="D50" s="5" t="s">
        <v>407</v>
      </c>
      <c r="E50" s="5" t="s">
        <v>408</v>
      </c>
      <c r="F50" s="5" t="s">
        <v>409</v>
      </c>
      <c r="G50" s="4" t="s">
        <v>255</v>
      </c>
      <c r="H50" s="4" t="s">
        <v>255</v>
      </c>
      <c r="I50" s="4" t="s">
        <v>265</v>
      </c>
      <c r="J50" s="4" t="s">
        <v>256</v>
      </c>
      <c r="K50" s="4" t="s">
        <v>257</v>
      </c>
      <c r="L50" s="4"/>
      <c r="M50" s="5"/>
    </row>
    <row r="51" spans="1:13" ht="16" customHeight="1" x14ac:dyDescent="0.2">
      <c r="A51" s="4" t="s">
        <v>162</v>
      </c>
      <c r="B51" s="4" t="s">
        <v>410</v>
      </c>
      <c r="C51" s="4" t="s">
        <v>406</v>
      </c>
      <c r="D51" s="5" t="s">
        <v>407</v>
      </c>
      <c r="E51" s="5" t="s">
        <v>411</v>
      </c>
      <c r="F51" s="5" t="s">
        <v>412</v>
      </c>
      <c r="G51" s="4" t="s">
        <v>255</v>
      </c>
      <c r="H51" s="4" t="s">
        <v>265</v>
      </c>
      <c r="I51" s="4" t="s">
        <v>274</v>
      </c>
      <c r="J51" s="4" t="s">
        <v>255</v>
      </c>
      <c r="K51" s="4" t="s">
        <v>257</v>
      </c>
      <c r="L51" s="4"/>
      <c r="M51" s="5"/>
    </row>
    <row r="52" spans="1:13" ht="16" customHeight="1" x14ac:dyDescent="0.2">
      <c r="A52" s="4" t="s">
        <v>165</v>
      </c>
      <c r="B52" s="4" t="s">
        <v>413</v>
      </c>
      <c r="C52" s="4" t="s">
        <v>406</v>
      </c>
      <c r="D52" s="5" t="s">
        <v>407</v>
      </c>
      <c r="E52" s="5" t="s">
        <v>414</v>
      </c>
      <c r="F52" s="5" t="s">
        <v>415</v>
      </c>
      <c r="G52" s="4" t="s">
        <v>265</v>
      </c>
      <c r="H52" s="4" t="s">
        <v>255</v>
      </c>
      <c r="I52" s="4" t="s">
        <v>265</v>
      </c>
      <c r="J52" s="4" t="s">
        <v>255</v>
      </c>
      <c r="K52" s="4" t="s">
        <v>257</v>
      </c>
      <c r="L52" s="4"/>
      <c r="M52" s="5"/>
    </row>
    <row r="53" spans="1:13" ht="16" customHeight="1" x14ac:dyDescent="0.2">
      <c r="A53" s="4" t="s">
        <v>166</v>
      </c>
      <c r="B53" s="4" t="s">
        <v>416</v>
      </c>
      <c r="C53" s="4" t="s">
        <v>406</v>
      </c>
      <c r="D53" s="5" t="s">
        <v>407</v>
      </c>
      <c r="E53" s="5" t="s">
        <v>417</v>
      </c>
      <c r="F53" s="5" t="s">
        <v>418</v>
      </c>
      <c r="G53" s="4" t="s">
        <v>256</v>
      </c>
      <c r="H53" s="4" t="s">
        <v>256</v>
      </c>
      <c r="I53" s="4" t="s">
        <v>274</v>
      </c>
      <c r="J53" s="4" t="s">
        <v>256</v>
      </c>
      <c r="K53" s="4" t="s">
        <v>257</v>
      </c>
      <c r="L53" s="4"/>
      <c r="M53" s="5"/>
    </row>
    <row r="54" spans="1:13" ht="16" customHeight="1" x14ac:dyDescent="0.2">
      <c r="A54" s="4" t="s">
        <v>167</v>
      </c>
      <c r="B54" s="4" t="s">
        <v>419</v>
      </c>
      <c r="C54" s="4" t="s">
        <v>406</v>
      </c>
      <c r="D54" s="5" t="s">
        <v>407</v>
      </c>
      <c r="E54" s="5" t="s">
        <v>420</v>
      </c>
      <c r="F54" s="5" t="s">
        <v>421</v>
      </c>
      <c r="G54" s="4" t="s">
        <v>255</v>
      </c>
      <c r="H54" s="4" t="s">
        <v>255</v>
      </c>
      <c r="I54" s="4" t="s">
        <v>274</v>
      </c>
      <c r="J54" s="4" t="s">
        <v>255</v>
      </c>
      <c r="K54" s="4" t="s">
        <v>257</v>
      </c>
      <c r="L54" s="4"/>
      <c r="M54" s="5"/>
    </row>
    <row r="55" spans="1:13" ht="16" customHeight="1" x14ac:dyDescent="0.2">
      <c r="A55" s="4" t="s">
        <v>171</v>
      </c>
      <c r="B55" s="4" t="s">
        <v>422</v>
      </c>
      <c r="C55" s="4" t="s">
        <v>406</v>
      </c>
      <c r="D55" s="5" t="s">
        <v>407</v>
      </c>
      <c r="E55" s="5" t="s">
        <v>423</v>
      </c>
      <c r="F55" s="5" t="s">
        <v>424</v>
      </c>
      <c r="G55" s="4" t="s">
        <v>274</v>
      </c>
      <c r="H55" s="4" t="s">
        <v>265</v>
      </c>
      <c r="I55" s="4" t="s">
        <v>274</v>
      </c>
      <c r="J55" s="4" t="s">
        <v>265</v>
      </c>
      <c r="K55" s="4" t="s">
        <v>257</v>
      </c>
      <c r="L55" s="4"/>
      <c r="M55" s="5"/>
    </row>
    <row r="56" spans="1:13" ht="16" customHeight="1" x14ac:dyDescent="0.2">
      <c r="A56" s="4" t="s">
        <v>172</v>
      </c>
      <c r="B56" s="4" t="s">
        <v>425</v>
      </c>
      <c r="C56" s="4" t="s">
        <v>406</v>
      </c>
      <c r="D56" s="5" t="s">
        <v>426</v>
      </c>
      <c r="E56" s="5" t="s">
        <v>427</v>
      </c>
      <c r="F56" s="5" t="s">
        <v>428</v>
      </c>
      <c r="G56" s="4" t="s">
        <v>255</v>
      </c>
      <c r="H56" s="4" t="s">
        <v>265</v>
      </c>
      <c r="I56" s="4" t="s">
        <v>265</v>
      </c>
      <c r="J56" s="4" t="s">
        <v>255</v>
      </c>
      <c r="K56" s="4" t="s">
        <v>275</v>
      </c>
      <c r="L56" s="4"/>
      <c r="M56" s="5"/>
    </row>
    <row r="57" spans="1:13" ht="16" customHeight="1" x14ac:dyDescent="0.2">
      <c r="A57" s="4" t="s">
        <v>176</v>
      </c>
      <c r="B57" s="4" t="s">
        <v>429</v>
      </c>
      <c r="C57" s="4" t="s">
        <v>406</v>
      </c>
      <c r="D57" s="5" t="s">
        <v>426</v>
      </c>
      <c r="E57" s="5" t="s">
        <v>430</v>
      </c>
      <c r="F57" s="5" t="s">
        <v>431</v>
      </c>
      <c r="G57" s="4" t="s">
        <v>265</v>
      </c>
      <c r="H57" s="4" t="s">
        <v>265</v>
      </c>
      <c r="I57" s="4" t="s">
        <v>265</v>
      </c>
      <c r="J57" s="4" t="s">
        <v>265</v>
      </c>
      <c r="K57" s="4" t="s">
        <v>275</v>
      </c>
      <c r="L57" s="4"/>
      <c r="M57" s="5"/>
    </row>
    <row r="58" spans="1:13" ht="16" customHeight="1" x14ac:dyDescent="0.2">
      <c r="A58" s="4" t="s">
        <v>179</v>
      </c>
      <c r="B58" s="4" t="s">
        <v>432</v>
      </c>
      <c r="C58" s="4" t="s">
        <v>406</v>
      </c>
      <c r="D58" s="5" t="s">
        <v>426</v>
      </c>
      <c r="E58" s="5" t="s">
        <v>433</v>
      </c>
      <c r="F58" s="5" t="s">
        <v>431</v>
      </c>
      <c r="G58" s="4" t="s">
        <v>265</v>
      </c>
      <c r="H58" s="4" t="s">
        <v>265</v>
      </c>
      <c r="I58" s="4" t="s">
        <v>265</v>
      </c>
      <c r="J58" s="4" t="s">
        <v>265</v>
      </c>
      <c r="K58" s="4" t="s">
        <v>275</v>
      </c>
      <c r="L58" s="4"/>
      <c r="M58" s="5"/>
    </row>
    <row r="59" spans="1:13" ht="16" customHeight="1" x14ac:dyDescent="0.2">
      <c r="A59" s="4" t="s">
        <v>180</v>
      </c>
      <c r="B59" s="4" t="s">
        <v>434</v>
      </c>
      <c r="C59" s="4" t="s">
        <v>406</v>
      </c>
      <c r="D59" s="5" t="s">
        <v>426</v>
      </c>
      <c r="E59" s="5" t="s">
        <v>435</v>
      </c>
      <c r="F59" s="5" t="s">
        <v>436</v>
      </c>
      <c r="G59" s="4" t="s">
        <v>274</v>
      </c>
      <c r="H59" s="4" t="s">
        <v>274</v>
      </c>
      <c r="I59" s="4" t="s">
        <v>274</v>
      </c>
      <c r="J59" s="4" t="s">
        <v>274</v>
      </c>
      <c r="K59" s="4" t="s">
        <v>275</v>
      </c>
      <c r="L59" s="4"/>
      <c r="M59" s="5"/>
    </row>
    <row r="60" spans="1:13" ht="32" customHeight="1" x14ac:dyDescent="0.2">
      <c r="A60" s="4" t="s">
        <v>181</v>
      </c>
      <c r="B60" s="4" t="s">
        <v>437</v>
      </c>
      <c r="C60" s="4" t="s">
        <v>406</v>
      </c>
      <c r="D60" s="5" t="s">
        <v>438</v>
      </c>
      <c r="E60" s="5" t="s">
        <v>439</v>
      </c>
      <c r="F60" s="5" t="s">
        <v>440</v>
      </c>
      <c r="G60" s="4" t="s">
        <v>255</v>
      </c>
      <c r="H60" s="4" t="s">
        <v>255</v>
      </c>
      <c r="I60" s="4" t="s">
        <v>265</v>
      </c>
      <c r="J60" s="4" t="s">
        <v>256</v>
      </c>
      <c r="K60" s="4" t="s">
        <v>257</v>
      </c>
      <c r="L60" s="4" t="s">
        <v>184</v>
      </c>
      <c r="M60" s="5"/>
    </row>
    <row r="61" spans="1:13" ht="16" customHeight="1" x14ac:dyDescent="0.2">
      <c r="A61" s="4" t="s">
        <v>186</v>
      </c>
      <c r="B61" s="4" t="s">
        <v>441</v>
      </c>
      <c r="C61" s="4" t="s">
        <v>406</v>
      </c>
      <c r="D61" s="5" t="s">
        <v>438</v>
      </c>
      <c r="E61" s="5" t="s">
        <v>442</v>
      </c>
      <c r="F61" s="5" t="s">
        <v>443</v>
      </c>
      <c r="G61" s="4" t="s">
        <v>255</v>
      </c>
      <c r="H61" s="4" t="s">
        <v>255</v>
      </c>
      <c r="I61" s="4" t="s">
        <v>265</v>
      </c>
      <c r="J61" s="4" t="s">
        <v>256</v>
      </c>
      <c r="K61" s="4" t="s">
        <v>275</v>
      </c>
      <c r="L61" s="4"/>
      <c r="M61" s="5"/>
    </row>
    <row r="62" spans="1:13" ht="16" customHeight="1" x14ac:dyDescent="0.2">
      <c r="A62" s="4" t="s">
        <v>187</v>
      </c>
      <c r="B62" s="4" t="s">
        <v>444</v>
      </c>
      <c r="C62" s="4" t="s">
        <v>406</v>
      </c>
      <c r="D62" s="5" t="s">
        <v>445</v>
      </c>
      <c r="E62" s="5" t="s">
        <v>446</v>
      </c>
      <c r="F62" s="5" t="s">
        <v>447</v>
      </c>
      <c r="G62" s="4"/>
      <c r="H62" s="4"/>
      <c r="I62" s="4"/>
      <c r="J62" s="4" t="s">
        <v>256</v>
      </c>
      <c r="K62" s="4" t="s">
        <v>257</v>
      </c>
      <c r="L62" s="4"/>
      <c r="M62" s="5"/>
    </row>
    <row r="63" spans="1:13" ht="16" customHeight="1" x14ac:dyDescent="0.2">
      <c r="A63" s="4" t="s">
        <v>191</v>
      </c>
      <c r="B63" s="4" t="s">
        <v>448</v>
      </c>
      <c r="C63" s="4" t="s">
        <v>406</v>
      </c>
      <c r="D63" s="5" t="s">
        <v>445</v>
      </c>
      <c r="E63" s="5" t="s">
        <v>449</v>
      </c>
      <c r="F63" s="5" t="s">
        <v>447</v>
      </c>
      <c r="G63" s="4"/>
      <c r="H63" s="4"/>
      <c r="I63" s="4"/>
      <c r="J63" s="4" t="s">
        <v>256</v>
      </c>
      <c r="K63" s="4" t="s">
        <v>257</v>
      </c>
      <c r="L63" s="4"/>
      <c r="M63" s="5"/>
    </row>
    <row r="64" spans="1:13" ht="16" customHeight="1" x14ac:dyDescent="0.2">
      <c r="A64" s="4" t="s">
        <v>194</v>
      </c>
      <c r="B64" s="4" t="s">
        <v>450</v>
      </c>
      <c r="C64" s="4" t="s">
        <v>406</v>
      </c>
      <c r="D64" s="5" t="s">
        <v>445</v>
      </c>
      <c r="E64" s="5" t="s">
        <v>451</v>
      </c>
      <c r="F64" s="5" t="s">
        <v>447</v>
      </c>
      <c r="G64" s="4"/>
      <c r="H64" s="4"/>
      <c r="I64" s="4"/>
      <c r="J64" s="4" t="s">
        <v>256</v>
      </c>
      <c r="K64" s="4" t="s">
        <v>257</v>
      </c>
      <c r="L64" s="4"/>
      <c r="M64" s="5"/>
    </row>
    <row r="65" spans="1:13" ht="16" customHeight="1" x14ac:dyDescent="0.2">
      <c r="A65" s="4" t="s">
        <v>198</v>
      </c>
      <c r="B65" s="4" t="s">
        <v>452</v>
      </c>
      <c r="C65" s="4" t="s">
        <v>406</v>
      </c>
      <c r="D65" s="5" t="s">
        <v>445</v>
      </c>
      <c r="E65" s="5" t="s">
        <v>453</v>
      </c>
      <c r="F65" s="5" t="s">
        <v>454</v>
      </c>
      <c r="G65" s="4"/>
      <c r="H65" s="4"/>
      <c r="I65" s="4"/>
      <c r="J65" s="4" t="s">
        <v>255</v>
      </c>
      <c r="K65" s="4" t="s">
        <v>257</v>
      </c>
      <c r="L65" s="4"/>
      <c r="M65" s="5"/>
    </row>
    <row r="66" spans="1:13" ht="16" customHeight="1" x14ac:dyDescent="0.2">
      <c r="A66" s="4" t="s">
        <v>201</v>
      </c>
      <c r="B66" s="4" t="s">
        <v>455</v>
      </c>
      <c r="C66" s="4" t="s">
        <v>406</v>
      </c>
      <c r="D66" s="5" t="s">
        <v>445</v>
      </c>
      <c r="E66" s="5" t="s">
        <v>456</v>
      </c>
      <c r="F66" s="5" t="s">
        <v>457</v>
      </c>
      <c r="G66" s="4"/>
      <c r="H66" s="4"/>
      <c r="I66" s="4"/>
      <c r="J66" s="4" t="s">
        <v>265</v>
      </c>
      <c r="K66" s="4" t="s">
        <v>257</v>
      </c>
      <c r="L66" s="4"/>
      <c r="M66" s="5"/>
    </row>
    <row r="67" spans="1:13" ht="16" customHeight="1" x14ac:dyDescent="0.2">
      <c r="A67" s="4" t="s">
        <v>202</v>
      </c>
      <c r="B67" s="6"/>
      <c r="C67" s="6"/>
      <c r="D67" s="7"/>
      <c r="E67" s="7"/>
      <c r="F67" s="7"/>
      <c r="G67" s="6"/>
      <c r="H67" s="6"/>
      <c r="I67" s="6"/>
      <c r="J67" s="6"/>
      <c r="K67" s="6"/>
      <c r="L67" s="6"/>
      <c r="M67" s="7"/>
    </row>
    <row r="68" spans="1:13" ht="16" customHeight="1" x14ac:dyDescent="0.2">
      <c r="A68" s="4" t="s">
        <v>203</v>
      </c>
      <c r="B68" s="6"/>
      <c r="C68" s="6"/>
      <c r="D68" s="7"/>
      <c r="E68" s="7"/>
      <c r="F68" s="7"/>
      <c r="G68" s="6"/>
      <c r="H68" s="6"/>
      <c r="I68" s="6"/>
      <c r="J68" s="6"/>
      <c r="K68" s="6"/>
      <c r="L68" s="6"/>
      <c r="M68" s="7"/>
    </row>
    <row r="69" spans="1:13" ht="16" customHeight="1" x14ac:dyDescent="0.2">
      <c r="A69" s="4" t="s">
        <v>204</v>
      </c>
      <c r="B69" s="6"/>
      <c r="C69" s="6"/>
      <c r="D69" s="7"/>
      <c r="E69" s="7"/>
      <c r="F69" s="7"/>
      <c r="G69" s="6"/>
      <c r="H69" s="6"/>
      <c r="I69" s="6"/>
      <c r="J69" s="6"/>
      <c r="K69" s="6"/>
      <c r="L69" s="6"/>
      <c r="M69" s="7"/>
    </row>
    <row r="70" spans="1:13" ht="16" customHeight="1" x14ac:dyDescent="0.2">
      <c r="A70" s="4" t="s">
        <v>205</v>
      </c>
      <c r="B70" s="6"/>
      <c r="C70" s="6"/>
      <c r="D70" s="7"/>
      <c r="E70" s="7"/>
      <c r="F70" s="7"/>
      <c r="G70" s="6"/>
      <c r="H70" s="6"/>
      <c r="I70" s="6"/>
      <c r="J70" s="6"/>
      <c r="K70" s="6"/>
      <c r="L70" s="6"/>
      <c r="M70" s="7"/>
    </row>
    <row r="71" spans="1:13" ht="16" customHeight="1" x14ac:dyDescent="0.2">
      <c r="A71" s="4" t="s">
        <v>206</v>
      </c>
      <c r="B71" s="6"/>
      <c r="C71" s="6"/>
      <c r="D71" s="7"/>
      <c r="E71" s="7"/>
      <c r="F71" s="7"/>
      <c r="G71" s="6"/>
      <c r="H71" s="6"/>
      <c r="I71" s="6"/>
      <c r="J71" s="6"/>
      <c r="K71" s="6"/>
      <c r="L71" s="6"/>
      <c r="M71" s="7"/>
    </row>
    <row r="72" spans="1:13" ht="16" customHeight="1" x14ac:dyDescent="0.2">
      <c r="A72" s="4" t="s">
        <v>207</v>
      </c>
      <c r="B72" s="6"/>
      <c r="C72" s="6"/>
      <c r="D72" s="7"/>
      <c r="E72" s="7"/>
      <c r="F72" s="7"/>
      <c r="G72" s="6"/>
      <c r="H72" s="6"/>
      <c r="I72" s="6"/>
      <c r="J72" s="6"/>
      <c r="K72" s="6"/>
      <c r="L72" s="6"/>
      <c r="M72" s="7"/>
    </row>
    <row r="73" spans="1:13" ht="16" customHeight="1" x14ac:dyDescent="0.2">
      <c r="A73" s="4" t="s">
        <v>208</v>
      </c>
      <c r="B73" s="6"/>
      <c r="C73" s="6"/>
      <c r="D73" s="7"/>
      <c r="E73" s="7"/>
      <c r="F73" s="7"/>
      <c r="G73" s="6"/>
      <c r="H73" s="6"/>
      <c r="I73" s="6"/>
      <c r="J73" s="6"/>
      <c r="K73" s="6"/>
      <c r="L73" s="6"/>
      <c r="M73" s="7"/>
    </row>
    <row r="74" spans="1:13" ht="16" customHeight="1" x14ac:dyDescent="0.2">
      <c r="A74" s="4" t="s">
        <v>209</v>
      </c>
      <c r="B74" s="6"/>
      <c r="C74" s="6"/>
      <c r="D74" s="7"/>
      <c r="E74" s="7"/>
      <c r="F74" s="7"/>
      <c r="G74" s="6"/>
      <c r="H74" s="6"/>
      <c r="I74" s="6"/>
      <c r="J74" s="6"/>
      <c r="K74" s="6"/>
      <c r="L74" s="6"/>
      <c r="M74" s="7"/>
    </row>
    <row r="75" spans="1:13" ht="16" customHeight="1" x14ac:dyDescent="0.2">
      <c r="A75" s="4" t="s">
        <v>210</v>
      </c>
      <c r="B75" s="6"/>
      <c r="C75" s="6"/>
      <c r="D75" s="7"/>
      <c r="E75" s="7"/>
      <c r="F75" s="7"/>
      <c r="G75" s="6"/>
      <c r="H75" s="6"/>
      <c r="I75" s="6"/>
      <c r="J75" s="6"/>
      <c r="K75" s="6"/>
      <c r="L75" s="6"/>
      <c r="M75" s="7"/>
    </row>
    <row r="76" spans="1:13" ht="16" customHeight="1" x14ac:dyDescent="0.2">
      <c r="A76" s="4" t="s">
        <v>211</v>
      </c>
      <c r="B76" s="6"/>
      <c r="C76" s="6"/>
      <c r="D76" s="7"/>
      <c r="E76" s="7"/>
      <c r="F76" s="7"/>
      <c r="G76" s="6"/>
      <c r="H76" s="6"/>
      <c r="I76" s="6"/>
      <c r="J76" s="6"/>
      <c r="K76" s="6"/>
      <c r="L76" s="6"/>
      <c r="M76" s="7"/>
    </row>
    <row r="77" spans="1:13" ht="16" customHeight="1" x14ac:dyDescent="0.2">
      <c r="A77" s="4" t="s">
        <v>212</v>
      </c>
      <c r="B77" s="6"/>
      <c r="C77" s="6"/>
      <c r="D77" s="7"/>
      <c r="E77" s="7"/>
      <c r="F77" s="7"/>
      <c r="G77" s="6"/>
      <c r="H77" s="6"/>
      <c r="I77" s="6"/>
      <c r="J77" s="6"/>
      <c r="K77" s="6"/>
      <c r="L77" s="6"/>
      <c r="M77" s="7"/>
    </row>
    <row r="78" spans="1:13" ht="16" customHeight="1" x14ac:dyDescent="0.2">
      <c r="A78" s="4" t="s">
        <v>213</v>
      </c>
      <c r="B78" s="6"/>
      <c r="C78" s="6"/>
      <c r="D78" s="7"/>
      <c r="E78" s="7"/>
      <c r="F78" s="7"/>
      <c r="G78" s="6"/>
      <c r="H78" s="6"/>
      <c r="I78" s="6"/>
      <c r="J78" s="6"/>
      <c r="K78" s="6"/>
      <c r="L78" s="6"/>
      <c r="M78" s="7"/>
    </row>
    <row r="79" spans="1:13" ht="16" customHeight="1" x14ac:dyDescent="0.2">
      <c r="A79" s="4" t="s">
        <v>214</v>
      </c>
      <c r="B79" s="6"/>
      <c r="C79" s="6"/>
      <c r="D79" s="7"/>
      <c r="E79" s="7"/>
      <c r="F79" s="7"/>
      <c r="G79" s="6"/>
      <c r="H79" s="6"/>
      <c r="I79" s="6"/>
      <c r="J79" s="6"/>
      <c r="K79" s="6"/>
      <c r="L79" s="6"/>
      <c r="M79" s="7"/>
    </row>
    <row r="80" spans="1:13" ht="16" customHeight="1" x14ac:dyDescent="0.2">
      <c r="A80" s="4" t="s">
        <v>215</v>
      </c>
      <c r="B80" s="6"/>
      <c r="C80" s="6"/>
      <c r="D80" s="7"/>
      <c r="E80" s="7"/>
      <c r="F80" s="7"/>
      <c r="G80" s="6"/>
      <c r="H80" s="6"/>
      <c r="I80" s="6"/>
      <c r="J80" s="6"/>
      <c r="K80" s="6"/>
      <c r="L80" s="6"/>
      <c r="M80" s="7"/>
    </row>
    <row r="81" spans="1:13" ht="16" customHeight="1" x14ac:dyDescent="0.2">
      <c r="A81" s="4" t="s">
        <v>216</v>
      </c>
      <c r="B81" s="6"/>
      <c r="C81" s="6"/>
      <c r="D81" s="7"/>
      <c r="E81" s="7"/>
      <c r="F81" s="7"/>
      <c r="G81" s="6"/>
      <c r="H81" s="6"/>
      <c r="I81" s="6"/>
      <c r="J81" s="6"/>
      <c r="K81" s="6"/>
      <c r="L81" s="6"/>
      <c r="M81" s="7"/>
    </row>
    <row r="82" spans="1:13" ht="16" customHeight="1" x14ac:dyDescent="0.2">
      <c r="A82" s="4" t="s">
        <v>217</v>
      </c>
      <c r="B82" s="6"/>
      <c r="C82" s="6"/>
      <c r="D82" s="7"/>
      <c r="E82" s="7"/>
      <c r="F82" s="7"/>
      <c r="G82" s="6"/>
      <c r="H82" s="6"/>
      <c r="I82" s="6"/>
      <c r="J82" s="6"/>
      <c r="K82" s="6"/>
      <c r="L82" s="6"/>
      <c r="M82" s="7"/>
    </row>
    <row r="83" spans="1:13" ht="16" customHeight="1" x14ac:dyDescent="0.2">
      <c r="A83" s="4" t="s">
        <v>218</v>
      </c>
      <c r="B83" s="6"/>
      <c r="C83" s="6"/>
      <c r="D83" s="7"/>
      <c r="E83" s="7"/>
      <c r="F83" s="7"/>
      <c r="G83" s="6"/>
      <c r="H83" s="6"/>
      <c r="I83" s="6"/>
      <c r="J83" s="6"/>
      <c r="K83" s="6"/>
      <c r="L83" s="6"/>
      <c r="M83" s="7"/>
    </row>
    <row r="84" spans="1:13" ht="16" customHeight="1" x14ac:dyDescent="0.2">
      <c r="A84" s="4" t="s">
        <v>219</v>
      </c>
      <c r="B84" s="6"/>
      <c r="C84" s="6"/>
      <c r="D84" s="7"/>
      <c r="E84" s="7"/>
      <c r="F84" s="7"/>
      <c r="G84" s="6"/>
      <c r="H84" s="6"/>
      <c r="I84" s="6"/>
      <c r="J84" s="6"/>
      <c r="K84" s="6"/>
      <c r="L84" s="6"/>
      <c r="M84" s="7"/>
    </row>
    <row r="85" spans="1:13" ht="16" customHeight="1" x14ac:dyDescent="0.2">
      <c r="A85" s="4" t="s">
        <v>220</v>
      </c>
      <c r="B85" s="6"/>
      <c r="C85" s="6"/>
      <c r="D85" s="7"/>
      <c r="E85" s="7"/>
      <c r="F85" s="7"/>
      <c r="G85" s="6"/>
      <c r="H85" s="6"/>
      <c r="I85" s="6"/>
      <c r="J85" s="6"/>
      <c r="K85" s="6"/>
      <c r="L85" s="6"/>
      <c r="M85" s="7"/>
    </row>
    <row r="86" spans="1:13" ht="16" customHeight="1" x14ac:dyDescent="0.2">
      <c r="A86" s="4" t="s">
        <v>221</v>
      </c>
      <c r="B86" s="6"/>
      <c r="C86" s="6"/>
      <c r="D86" s="7"/>
      <c r="E86" s="7"/>
      <c r="F86" s="7"/>
      <c r="G86" s="6"/>
      <c r="H86" s="6"/>
      <c r="I86" s="6"/>
      <c r="J86" s="6"/>
      <c r="K86" s="6"/>
      <c r="L86" s="6"/>
      <c r="M86" s="7"/>
    </row>
    <row r="87" spans="1:13" ht="16" customHeight="1" x14ac:dyDescent="0.2">
      <c r="A87" s="4" t="s">
        <v>222</v>
      </c>
      <c r="B87" s="6"/>
      <c r="C87" s="6"/>
      <c r="D87" s="7"/>
      <c r="E87" s="7"/>
      <c r="F87" s="7"/>
      <c r="G87" s="6"/>
      <c r="H87" s="6"/>
      <c r="I87" s="6"/>
      <c r="J87" s="6"/>
      <c r="K87" s="6"/>
      <c r="L87" s="6"/>
      <c r="M87" s="7"/>
    </row>
    <row r="88" spans="1:13" ht="16" customHeight="1" x14ac:dyDescent="0.2">
      <c r="A88" s="4" t="s">
        <v>223</v>
      </c>
      <c r="B88" s="6"/>
      <c r="C88" s="6"/>
      <c r="D88" s="7"/>
      <c r="E88" s="7"/>
      <c r="F88" s="7"/>
      <c r="G88" s="6"/>
      <c r="H88" s="6"/>
      <c r="I88" s="6"/>
      <c r="J88" s="6"/>
      <c r="K88" s="6"/>
      <c r="L88" s="6"/>
      <c r="M88" s="7"/>
    </row>
    <row r="89" spans="1:13" ht="16" customHeight="1" x14ac:dyDescent="0.2">
      <c r="A89" s="4" t="s">
        <v>224</v>
      </c>
      <c r="B89" s="6"/>
      <c r="C89" s="6"/>
      <c r="D89" s="7"/>
      <c r="E89" s="7"/>
      <c r="F89" s="7"/>
      <c r="G89" s="6"/>
      <c r="H89" s="6"/>
      <c r="I89" s="6"/>
      <c r="J89" s="6"/>
      <c r="K89" s="6"/>
      <c r="L89" s="6"/>
      <c r="M89" s="7"/>
    </row>
    <row r="90" spans="1:13" ht="16" customHeight="1" x14ac:dyDescent="0.2">
      <c r="A90" s="4" t="s">
        <v>225</v>
      </c>
      <c r="B90" s="6"/>
      <c r="C90" s="6"/>
      <c r="D90" s="7"/>
      <c r="E90" s="7"/>
      <c r="F90" s="7"/>
      <c r="G90" s="6"/>
      <c r="H90" s="6"/>
      <c r="I90" s="6"/>
      <c r="J90" s="6"/>
      <c r="K90" s="6"/>
      <c r="L90" s="6"/>
      <c r="M90" s="7"/>
    </row>
    <row r="91" spans="1:13" ht="16" customHeight="1" x14ac:dyDescent="0.2">
      <c r="A91" s="4" t="s">
        <v>226</v>
      </c>
      <c r="B91" s="6"/>
      <c r="C91" s="6"/>
      <c r="D91" s="7"/>
      <c r="E91" s="7"/>
      <c r="F91" s="7"/>
      <c r="G91" s="6"/>
      <c r="H91" s="6"/>
      <c r="I91" s="6"/>
      <c r="J91" s="6"/>
      <c r="K91" s="6"/>
      <c r="L91" s="6"/>
      <c r="M91" s="7"/>
    </row>
    <row r="92" spans="1:13" ht="16" customHeight="1" x14ac:dyDescent="0.2">
      <c r="A92" s="4" t="s">
        <v>227</v>
      </c>
      <c r="B92" s="6"/>
      <c r="C92" s="6"/>
      <c r="D92" s="7"/>
      <c r="E92" s="7"/>
      <c r="F92" s="7"/>
      <c r="G92" s="6"/>
      <c r="H92" s="6"/>
      <c r="I92" s="6"/>
      <c r="J92" s="6"/>
      <c r="K92" s="6"/>
      <c r="L92" s="6"/>
      <c r="M92" s="7"/>
    </row>
    <row r="93" spans="1:13" ht="16" customHeight="1" x14ac:dyDescent="0.2">
      <c r="A93" s="4" t="s">
        <v>228</v>
      </c>
      <c r="B93" s="6"/>
      <c r="C93" s="6"/>
      <c r="D93" s="7"/>
      <c r="E93" s="7"/>
      <c r="F93" s="7"/>
      <c r="G93" s="6"/>
      <c r="H93" s="6"/>
      <c r="I93" s="6"/>
      <c r="J93" s="6"/>
      <c r="K93" s="6"/>
      <c r="L93" s="6"/>
      <c r="M93" s="7"/>
    </row>
    <row r="94" spans="1:13" ht="16" customHeight="1" x14ac:dyDescent="0.2">
      <c r="A94" s="4" t="s">
        <v>229</v>
      </c>
      <c r="B94" s="6"/>
      <c r="C94" s="6"/>
      <c r="D94" s="7"/>
      <c r="E94" s="7"/>
      <c r="F94" s="7"/>
      <c r="G94" s="6"/>
      <c r="H94" s="6"/>
      <c r="I94" s="6"/>
      <c r="J94" s="6"/>
      <c r="K94" s="6"/>
      <c r="L94" s="6"/>
      <c r="M94" s="7"/>
    </row>
    <row r="95" spans="1:13" ht="16" customHeight="1" x14ac:dyDescent="0.2">
      <c r="A95" s="4" t="s">
        <v>230</v>
      </c>
      <c r="B95" s="6"/>
      <c r="C95" s="6"/>
      <c r="D95" s="7"/>
      <c r="E95" s="7"/>
      <c r="F95" s="7"/>
      <c r="G95" s="6"/>
      <c r="H95" s="6"/>
      <c r="I95" s="6"/>
      <c r="J95" s="6"/>
      <c r="K95" s="6"/>
      <c r="L95" s="6"/>
      <c r="M95" s="7"/>
    </row>
    <row r="96" spans="1:13" ht="16" customHeight="1" x14ac:dyDescent="0.2">
      <c r="A96" s="4" t="s">
        <v>231</v>
      </c>
      <c r="B96" s="6"/>
      <c r="C96" s="6"/>
      <c r="D96" s="7"/>
      <c r="E96" s="7"/>
      <c r="F96" s="7"/>
      <c r="G96" s="6"/>
      <c r="H96" s="6"/>
      <c r="I96" s="6"/>
      <c r="J96" s="6"/>
      <c r="K96" s="6"/>
      <c r="L96" s="6"/>
      <c r="M96" s="7"/>
    </row>
    <row r="97" spans="1:13" ht="16" customHeight="1" x14ac:dyDescent="0.2">
      <c r="A97" s="4" t="s">
        <v>232</v>
      </c>
      <c r="B97" s="6"/>
      <c r="C97" s="6"/>
      <c r="D97" s="7"/>
      <c r="E97" s="7"/>
      <c r="F97" s="7"/>
      <c r="G97" s="6"/>
      <c r="H97" s="6"/>
      <c r="I97" s="6"/>
      <c r="J97" s="6"/>
      <c r="K97" s="6"/>
      <c r="L97" s="6"/>
      <c r="M97" s="7"/>
    </row>
    <row r="98" spans="1:13" ht="16" customHeight="1" x14ac:dyDescent="0.2">
      <c r="A98" s="4" t="s">
        <v>233</v>
      </c>
      <c r="B98" s="6"/>
      <c r="C98" s="6"/>
      <c r="D98" s="7"/>
      <c r="E98" s="7"/>
      <c r="F98" s="7"/>
      <c r="G98" s="6"/>
      <c r="H98" s="6"/>
      <c r="I98" s="6"/>
      <c r="J98" s="6"/>
      <c r="K98" s="6"/>
      <c r="L98" s="6"/>
      <c r="M98" s="7"/>
    </row>
    <row r="99" spans="1:13" ht="16" customHeight="1" x14ac:dyDescent="0.2">
      <c r="A99" s="4" t="s">
        <v>234</v>
      </c>
      <c r="B99" s="6"/>
      <c r="C99" s="6"/>
      <c r="D99" s="7"/>
      <c r="E99" s="7"/>
      <c r="F99" s="7"/>
      <c r="G99" s="6"/>
      <c r="H99" s="6"/>
      <c r="I99" s="6"/>
      <c r="J99" s="6"/>
      <c r="K99" s="6"/>
      <c r="L99" s="6"/>
      <c r="M99" s="7"/>
    </row>
    <row r="100" spans="1:13" ht="16" customHeight="1" x14ac:dyDescent="0.2">
      <c r="A100" s="4" t="s">
        <v>235</v>
      </c>
      <c r="B100" s="6"/>
      <c r="C100" s="6"/>
      <c r="D100" s="7"/>
      <c r="E100" s="7"/>
      <c r="F100" s="7"/>
      <c r="G100" s="6"/>
      <c r="H100" s="6"/>
      <c r="I100" s="6"/>
      <c r="J100" s="6"/>
      <c r="K100" s="6"/>
      <c r="L100" s="6"/>
      <c r="M100" s="7"/>
    </row>
    <row r="101" spans="1:13" ht="16" customHeight="1" x14ac:dyDescent="0.2">
      <c r="A101" s="4" t="s">
        <v>236</v>
      </c>
      <c r="B101" s="6"/>
      <c r="C101" s="6"/>
      <c r="D101" s="7"/>
      <c r="E101" s="7"/>
      <c r="F101" s="7"/>
      <c r="G101" s="6"/>
      <c r="H101" s="6"/>
      <c r="I101" s="6"/>
      <c r="J101" s="6"/>
      <c r="K101" s="6"/>
      <c r="L101" s="6"/>
      <c r="M101" s="7"/>
    </row>
    <row r="102" spans="1:13" ht="16" customHeight="1" x14ac:dyDescent="0.2">
      <c r="A102" s="4" t="s">
        <v>237</v>
      </c>
      <c r="B102" s="6"/>
      <c r="C102" s="6"/>
      <c r="D102" s="7"/>
      <c r="E102" s="7"/>
      <c r="F102" s="7"/>
      <c r="G102" s="6"/>
      <c r="H102" s="6"/>
      <c r="I102" s="6"/>
      <c r="J102" s="6"/>
      <c r="K102" s="6"/>
      <c r="L102" s="6"/>
      <c r="M102" s="7"/>
    </row>
    <row r="103" spans="1:13" ht="16" customHeight="1" x14ac:dyDescent="0.2">
      <c r="A103" s="4" t="s">
        <v>238</v>
      </c>
      <c r="B103" s="6"/>
      <c r="C103" s="6"/>
      <c r="D103" s="7"/>
      <c r="E103" s="7"/>
      <c r="F103" s="7"/>
      <c r="G103" s="6"/>
      <c r="H103" s="6"/>
      <c r="I103" s="6"/>
      <c r="J103" s="6"/>
      <c r="K103" s="6"/>
      <c r="L103" s="6"/>
      <c r="M103" s="7"/>
    </row>
    <row r="104" spans="1:13" ht="16" customHeight="1" x14ac:dyDescent="0.2">
      <c r="A104" s="4" t="s">
        <v>239</v>
      </c>
      <c r="B104" s="6"/>
      <c r="C104" s="6"/>
      <c r="D104" s="7"/>
      <c r="E104" s="7"/>
      <c r="F104" s="7"/>
      <c r="G104" s="6"/>
      <c r="H104" s="6"/>
      <c r="I104" s="6"/>
      <c r="J104" s="6"/>
      <c r="K104" s="6"/>
      <c r="L104" s="6"/>
      <c r="M104" s="7"/>
    </row>
  </sheetData>
  <autoFilter ref="A4:M104" xr:uid="{00000000-0009-0000-0000-000000000000}"/>
  <conditionalFormatting sqref="J5:J104">
    <cfRule type="expression" dxfId="21" priority="1">
      <formula>J5="Critical"</formula>
    </cfRule>
    <cfRule type="expression" dxfId="20" priority="2">
      <formula>J5="High"</formula>
    </cfRule>
    <cfRule type="expression" dxfId="19" priority="3">
      <formula>J5="Medium"</formula>
    </cfRule>
    <cfRule type="expression" dxfId="18" priority="4">
      <formula>J5="Low"</formula>
    </cfRule>
  </conditionalFormatting>
  <dataValidations count="3">
    <dataValidation type="list" allowBlank="1" sqref="C5:C104" xr:uid="{00000000-0002-0000-0000-000000000000}">
      <formula1>"Hardware,Account,Data"</formula1>
    </dataValidation>
    <dataValidation type="list" allowBlank="1" sqref="G5:J104" xr:uid="{00000000-0002-0000-0000-000001000000}">
      <formula1>"Critical,High,Medium,Low"</formula1>
    </dataValidation>
    <dataValidation type="list" allowBlank="1" sqref="K5:K104" xr:uid="{00000000-0002-0000-0000-000002000000}">
      <formula1>"Self,Third party,Institution"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9"/>
  <sheetViews>
    <sheetView workbookViewId="0">
      <pane xSplit="5" ySplit="4" topLeftCell="T48" activePane="bottomRight" state="frozen"/>
      <selection pane="topRight"/>
      <selection pane="bottomLeft"/>
      <selection pane="bottomRight" activeCell="V60" sqref="V60"/>
    </sheetView>
  </sheetViews>
  <sheetFormatPr baseColWidth="10" defaultColWidth="8.83203125" defaultRowHeight="15" x14ac:dyDescent="0.2"/>
  <cols>
    <col min="1" max="1" width="10" customWidth="1"/>
    <col min="2" max="2" width="9" customWidth="1"/>
    <col min="3" max="3" width="26" customWidth="1"/>
    <col min="4" max="4" width="16" customWidth="1"/>
    <col min="5" max="5" width="10" customWidth="1"/>
    <col min="6" max="13" width="13" customWidth="1"/>
    <col min="14" max="14" width="14" customWidth="1"/>
    <col min="15" max="15" width="9" customWidth="1"/>
    <col min="16" max="16" width="10" customWidth="1"/>
    <col min="17" max="17" width="7" customWidth="1"/>
    <col min="18" max="18" width="60" customWidth="1"/>
    <col min="19" max="20" width="50" customWidth="1"/>
    <col min="21" max="23" width="40" customWidth="1"/>
    <col min="24" max="24" width="10" customWidth="1"/>
    <col min="25" max="25" width="16" customWidth="1"/>
    <col min="26" max="26" width="55" customWidth="1"/>
  </cols>
  <sheetData>
    <row r="1" spans="1:26" ht="19" x14ac:dyDescent="0.25">
      <c r="A1" s="8" t="s">
        <v>0</v>
      </c>
    </row>
    <row r="2" spans="1:26" x14ac:dyDescent="0.2">
      <c r="A2" s="9" t="s">
        <v>1</v>
      </c>
    </row>
    <row r="4" spans="1:26" ht="45" customHeight="1" x14ac:dyDescent="0.2">
      <c r="A4" s="10" t="s">
        <v>2</v>
      </c>
      <c r="B4" s="10" t="s">
        <v>3</v>
      </c>
      <c r="C4" s="10" t="s">
        <v>4</v>
      </c>
      <c r="D4" s="10" t="s">
        <v>5</v>
      </c>
      <c r="E4" s="10" t="s">
        <v>6</v>
      </c>
      <c r="F4" s="10" t="s">
        <v>7</v>
      </c>
      <c r="G4" s="10" t="s">
        <v>8</v>
      </c>
      <c r="H4" s="10" t="s">
        <v>9</v>
      </c>
      <c r="I4" s="10" t="s">
        <v>10</v>
      </c>
      <c r="J4" s="10" t="s">
        <v>11</v>
      </c>
      <c r="K4" s="10" t="s">
        <v>12</v>
      </c>
      <c r="L4" s="10" t="s">
        <v>13</v>
      </c>
      <c r="M4" s="10" t="s">
        <v>14</v>
      </c>
      <c r="N4" s="10" t="s">
        <v>15</v>
      </c>
      <c r="O4" s="10" t="s">
        <v>16</v>
      </c>
      <c r="P4" s="10" t="s">
        <v>17</v>
      </c>
      <c r="Q4" s="10" t="s">
        <v>18</v>
      </c>
      <c r="R4" s="10" t="s">
        <v>19</v>
      </c>
      <c r="S4" s="10" t="s">
        <v>20</v>
      </c>
      <c r="T4" s="10" t="s">
        <v>21</v>
      </c>
      <c r="U4" s="10" t="s">
        <v>22</v>
      </c>
      <c r="V4" s="10" t="s">
        <v>23</v>
      </c>
      <c r="W4" s="10" t="s">
        <v>24</v>
      </c>
      <c r="X4" s="10" t="s">
        <v>25</v>
      </c>
      <c r="Y4" s="10" t="s">
        <v>26</v>
      </c>
      <c r="Z4" s="10" t="s">
        <v>27</v>
      </c>
    </row>
    <row r="5" spans="1:26" ht="160" x14ac:dyDescent="0.2">
      <c r="A5" s="11" t="s">
        <v>28</v>
      </c>
      <c r="B5" s="12" t="str">
        <f>IF(A5="","",IFERROR(INDEX('Asset Register'!$B:$B,MATCH(A5,'Asset Register'!$A:$A,0)),""))</f>
        <v>H-01</v>
      </c>
      <c r="C5" s="13" t="str">
        <f>IF(A5="","",IFERROR(INDEX('Asset Register'!$E:$E,MATCH(A5,'Asset Register'!$A:$A,0)),""))</f>
        <v>MacBook Air (M4)</v>
      </c>
      <c r="D5" s="12" t="str">
        <f>IF(A5="","",IFERROR(INDEX('Asset Register'!$D:$D,MATCH(A5,'Asset Register'!$A:$A,0)),""))</f>
        <v>Device</v>
      </c>
      <c r="E5" s="12" t="str">
        <f>IF(A5="","",IFERROR(INDEX('Asset Register'!$J:$J,MATCH(A5,'Asset Register'!$A:$A,0)),""))</f>
        <v>Critical</v>
      </c>
      <c r="F5" s="11" t="s">
        <v>572</v>
      </c>
      <c r="G5" s="11" t="s">
        <v>55</v>
      </c>
      <c r="H5" s="11" t="s">
        <v>55</v>
      </c>
      <c r="I5" s="11" t="s">
        <v>573</v>
      </c>
      <c r="J5" s="11" t="s">
        <v>573</v>
      </c>
      <c r="K5" s="11" t="s">
        <v>55</v>
      </c>
      <c r="L5" s="11" t="s">
        <v>55</v>
      </c>
      <c r="M5" s="11" t="s">
        <v>55</v>
      </c>
      <c r="N5" s="12" t="str">
        <f t="shared" ref="N5:N32" si="0">IF(COUNTA(F5:M5)=0,"",IF((COUNTIF(F5:M5,"Implemented")+COUNTIF(F5:M5,"Partial")+COUNTIF(F5:M5,"Not Implemented"))+COUNTIF(F5:M5,"??")=0,"N/A",IF((COUNTIF(F5:M5,"Implemented")+COUNTIF(F5:M5,"Partial")+COUNTIF(F5:M5,"Not Implemented"))=0,"??",IF(COUNTIF(F5:M5,"Implemented")=(COUNTIF(F5:M5,"Implemented")+COUNTIF(F5:M5,"Partial")+COUNTIF(F5:M5,"Not Implemented")),"Implemented",IF(COUNTIF(F5:M5,"Not Implemented")=(COUNTIF(F5:M5,"Implemented")+COUNTIF(F5:M5,"Partial")+COUNTIF(F5:M5,"Not Implemented")),"Not Implemented","Partial")))))</f>
        <v>Partial</v>
      </c>
      <c r="O5" s="12">
        <f t="shared" ref="O5:O32" si="1">IF(COUNTA(F5:M5)=0,"",(COUNTIF(F5:M5,"Implemented")+COUNTIF(F5:M5,"Partial")+COUNTIF(F5:M5,"Not Implemented")))</f>
        <v>8</v>
      </c>
      <c r="P5" s="12">
        <f t="shared" ref="P5:P32" si="2">IF(COUNTA(F5:M5)=0,"",COUNTIF(F5:M5,"??"))</f>
        <v>0</v>
      </c>
      <c r="Q5" s="12">
        <f t="shared" ref="Q5:Q32" si="3">IF(COUNTA(F5:M5)=0,"",COUNTIF(F5:M5,"Partial")+COUNTIF(F5:M5,"Not Implemented"))</f>
        <v>7</v>
      </c>
      <c r="R5" s="14" t="s">
        <v>31</v>
      </c>
      <c r="S5" s="14" t="s">
        <v>32</v>
      </c>
      <c r="T5" s="15" t="s">
        <v>678</v>
      </c>
      <c r="U5" s="15" t="s">
        <v>679</v>
      </c>
      <c r="V5" s="15" t="s">
        <v>680</v>
      </c>
      <c r="W5" s="15" t="s">
        <v>681</v>
      </c>
      <c r="X5" s="15" t="s">
        <v>33</v>
      </c>
      <c r="Y5" s="14" t="s">
        <v>34</v>
      </c>
      <c r="Z5" s="16"/>
    </row>
    <row r="6" spans="1:26" ht="128" x14ac:dyDescent="0.2">
      <c r="A6" s="11" t="s">
        <v>35</v>
      </c>
      <c r="B6" s="12" t="str">
        <f>IF(A6="","",IFERROR(INDEX('Asset Register'!$B:$B,MATCH(A6,'Asset Register'!$A:$A,0)),""))</f>
        <v>H-02</v>
      </c>
      <c r="C6" s="13" t="str">
        <f>IF(A6="","",IFERROR(INDEX('Asset Register'!$E:$E,MATCH(A6,'Asset Register'!$A:$A,0)),""))</f>
        <v>iPhone 14</v>
      </c>
      <c r="D6" s="12" t="str">
        <f>IF(A6="","",IFERROR(INDEX('Asset Register'!$D:$D,MATCH(A6,'Asset Register'!$A:$A,0)),""))</f>
        <v>Device</v>
      </c>
      <c r="E6" s="12" t="str">
        <f>IF(A6="","",IFERROR(INDEX('Asset Register'!$J:$J,MATCH(A6,'Asset Register'!$A:$A,0)),""))</f>
        <v>Critical</v>
      </c>
      <c r="F6" s="11" t="s">
        <v>55</v>
      </c>
      <c r="G6" s="11" t="s">
        <v>572</v>
      </c>
      <c r="H6" s="11" t="s">
        <v>55</v>
      </c>
      <c r="I6" s="11" t="s">
        <v>572</v>
      </c>
      <c r="J6" s="11" t="s">
        <v>573</v>
      </c>
      <c r="K6" s="11" t="s">
        <v>55</v>
      </c>
      <c r="L6" s="11" t="s">
        <v>55</v>
      </c>
      <c r="M6" s="11" t="s">
        <v>572</v>
      </c>
      <c r="N6" s="12" t="str">
        <f t="shared" si="0"/>
        <v>Partial</v>
      </c>
      <c r="O6" s="12">
        <f t="shared" si="1"/>
        <v>8</v>
      </c>
      <c r="P6" s="12">
        <f t="shared" si="2"/>
        <v>0</v>
      </c>
      <c r="Q6" s="12">
        <f t="shared" si="3"/>
        <v>5</v>
      </c>
      <c r="R6" s="14" t="s">
        <v>36</v>
      </c>
      <c r="S6" s="14" t="s">
        <v>37</v>
      </c>
      <c r="T6" s="15" t="s">
        <v>686</v>
      </c>
      <c r="U6" s="15" t="s">
        <v>687</v>
      </c>
      <c r="V6" s="15" t="s">
        <v>688</v>
      </c>
      <c r="W6" s="15" t="s">
        <v>689</v>
      </c>
      <c r="X6" s="15" t="s">
        <v>38</v>
      </c>
      <c r="Y6" s="14" t="s">
        <v>39</v>
      </c>
      <c r="Z6" s="16"/>
    </row>
    <row r="7" spans="1:26" ht="128" x14ac:dyDescent="0.2">
      <c r="A7" s="11" t="s">
        <v>40</v>
      </c>
      <c r="B7" s="12" t="str">
        <f>IF(A7="","",IFERROR(INDEX('Asset Register'!$B:$B,MATCH(A7,'Asset Register'!$A:$A,0)),""))</f>
        <v>H-03</v>
      </c>
      <c r="C7" s="13" t="str">
        <f>IF(A7="","",IFERROR(INDEX('Asset Register'!$E:$E,MATCH(A7,'Asset Register'!$A:$A,0)),""))</f>
        <v>iPad</v>
      </c>
      <c r="D7" s="12" t="str">
        <f>IF(A7="","",IFERROR(INDEX('Asset Register'!$D:$D,MATCH(A7,'Asset Register'!$A:$A,0)),""))</f>
        <v>Device</v>
      </c>
      <c r="E7" s="12" t="str">
        <f>IF(A7="","",IFERROR(INDEX('Asset Register'!$J:$J,MATCH(A7,'Asset Register'!$A:$A,0)),""))</f>
        <v>Medium</v>
      </c>
      <c r="F7" s="11" t="s">
        <v>29</v>
      </c>
      <c r="G7" s="11" t="s">
        <v>572</v>
      </c>
      <c r="H7" s="11" t="s">
        <v>29</v>
      </c>
      <c r="I7" s="11" t="s">
        <v>572</v>
      </c>
      <c r="J7" s="11" t="s">
        <v>573</v>
      </c>
      <c r="K7" s="11" t="s">
        <v>55</v>
      </c>
      <c r="L7" s="11" t="s">
        <v>572</v>
      </c>
      <c r="M7" s="11" t="s">
        <v>55</v>
      </c>
      <c r="N7" s="12" t="str">
        <f t="shared" si="0"/>
        <v>Partial</v>
      </c>
      <c r="O7" s="12">
        <f t="shared" si="1"/>
        <v>6</v>
      </c>
      <c r="P7" s="12">
        <f t="shared" si="2"/>
        <v>0</v>
      </c>
      <c r="Q7" s="12">
        <f t="shared" si="3"/>
        <v>3</v>
      </c>
      <c r="R7" s="14" t="s">
        <v>41</v>
      </c>
      <c r="S7" s="14" t="s">
        <v>42</v>
      </c>
      <c r="T7" s="15" t="s">
        <v>694</v>
      </c>
      <c r="U7" s="15" t="s">
        <v>695</v>
      </c>
      <c r="V7" s="15" t="s">
        <v>696</v>
      </c>
      <c r="W7" s="15" t="s">
        <v>697</v>
      </c>
      <c r="X7" s="15"/>
      <c r="Y7" s="14" t="s">
        <v>43</v>
      </c>
      <c r="Z7" s="16"/>
    </row>
    <row r="8" spans="1:26" ht="64" x14ac:dyDescent="0.2">
      <c r="A8" s="11" t="s">
        <v>44</v>
      </c>
      <c r="B8" s="12" t="str">
        <f>IF(A8="","",IFERROR(INDEX('Asset Register'!$B:$B,MATCH(A8,'Asset Register'!$A:$A,0)),""))</f>
        <v>H-04</v>
      </c>
      <c r="C8" s="13" t="str">
        <f>IF(A8="","",IFERROR(INDEX('Asset Register'!$E:$E,MATCH(A8,'Asset Register'!$A:$A,0)),""))</f>
        <v>eSIM profile</v>
      </c>
      <c r="D8" s="12" t="str">
        <f>IF(A8="","",IFERROR(INDEX('Asset Register'!$D:$D,MATCH(A8,'Asset Register'!$A:$A,0)),""))</f>
        <v>Device</v>
      </c>
      <c r="E8" s="12" t="str">
        <f>IF(A8="","",IFERROR(INDEX('Asset Register'!$J:$J,MATCH(A8,'Asset Register'!$A:$A,0)),""))</f>
        <v>Critical</v>
      </c>
      <c r="F8" s="11" t="s">
        <v>29</v>
      </c>
      <c r="G8" s="11" t="s">
        <v>55</v>
      </c>
      <c r="H8" s="11" t="s">
        <v>29</v>
      </c>
      <c r="I8" s="11" t="s">
        <v>29</v>
      </c>
      <c r="J8" s="11" t="s">
        <v>29</v>
      </c>
      <c r="K8" s="11" t="s">
        <v>29</v>
      </c>
      <c r="L8" s="11" t="s">
        <v>573</v>
      </c>
      <c r="M8" s="11" t="s">
        <v>29</v>
      </c>
      <c r="N8" s="12" t="str">
        <f t="shared" si="0"/>
        <v>Partial</v>
      </c>
      <c r="O8" s="12">
        <f t="shared" si="1"/>
        <v>2</v>
      </c>
      <c r="P8" s="12">
        <f t="shared" si="2"/>
        <v>0</v>
      </c>
      <c r="Q8" s="12">
        <f t="shared" si="3"/>
        <v>2</v>
      </c>
      <c r="R8" s="14" t="s">
        <v>45</v>
      </c>
      <c r="S8" s="14" t="s">
        <v>46</v>
      </c>
      <c r="T8" s="15" t="s">
        <v>702</v>
      </c>
      <c r="U8" s="15" t="s">
        <v>703</v>
      </c>
      <c r="V8" s="15" t="s">
        <v>704</v>
      </c>
      <c r="W8" s="15" t="s">
        <v>705</v>
      </c>
      <c r="X8" s="15" t="s">
        <v>47</v>
      </c>
      <c r="Y8" s="14" t="s">
        <v>48</v>
      </c>
      <c r="Z8" s="16"/>
    </row>
    <row r="9" spans="1:26" ht="128" x14ac:dyDescent="0.2">
      <c r="A9" s="11" t="s">
        <v>49</v>
      </c>
      <c r="B9" s="12" t="str">
        <f>IF(A9="","",IFERROR(INDEX('Asset Register'!$B:$B,MATCH(A9,'Asset Register'!$A:$A,0)),""))</f>
        <v>H-05</v>
      </c>
      <c r="C9" s="13" t="str">
        <f>IF(A9="","",IFERROR(INDEX('Asset Register'!$E:$E,MATCH(A9,'Asset Register'!$A:$A,0)),""))</f>
        <v>Home Wi-Fi network</v>
      </c>
      <c r="D9" s="12" t="str">
        <f>IF(A9="","",IFERROR(INDEX('Asset Register'!$D:$D,MATCH(A9,'Asset Register'!$A:$A,0)),""))</f>
        <v>Network</v>
      </c>
      <c r="E9" s="12" t="str">
        <f>IF(A9="","",IFERROR(INDEX('Asset Register'!$J:$J,MATCH(A9,'Asset Register'!$A:$A,0)),""))</f>
        <v>High</v>
      </c>
      <c r="F9" s="11" t="s">
        <v>573</v>
      </c>
      <c r="G9" s="11" t="s">
        <v>29</v>
      </c>
      <c r="H9" s="11" t="s">
        <v>55</v>
      </c>
      <c r="I9" s="11" t="s">
        <v>572</v>
      </c>
      <c r="J9" s="11" t="s">
        <v>55</v>
      </c>
      <c r="K9" s="11" t="s">
        <v>29</v>
      </c>
      <c r="L9" s="11" t="s">
        <v>55</v>
      </c>
      <c r="M9" s="11" t="s">
        <v>55</v>
      </c>
      <c r="N9" s="12" t="str">
        <f t="shared" si="0"/>
        <v>Partial</v>
      </c>
      <c r="O9" s="12">
        <f t="shared" si="1"/>
        <v>6</v>
      </c>
      <c r="P9" s="12">
        <f t="shared" si="2"/>
        <v>0</v>
      </c>
      <c r="Q9" s="12">
        <f t="shared" si="3"/>
        <v>5</v>
      </c>
      <c r="R9" s="14" t="s">
        <v>50</v>
      </c>
      <c r="S9" s="14" t="s">
        <v>51</v>
      </c>
      <c r="T9" s="15" t="s">
        <v>710</v>
      </c>
      <c r="U9" s="15" t="s">
        <v>711</v>
      </c>
      <c r="V9" s="15" t="s">
        <v>712</v>
      </c>
      <c r="W9" s="15" t="s">
        <v>713</v>
      </c>
      <c r="X9" s="15" t="s">
        <v>52</v>
      </c>
      <c r="Y9" s="14" t="s">
        <v>53</v>
      </c>
      <c r="Z9" s="16"/>
    </row>
    <row r="10" spans="1:26" ht="80" x14ac:dyDescent="0.2">
      <c r="A10" s="11" t="s">
        <v>54</v>
      </c>
      <c r="B10" s="12" t="str">
        <f>IF(A10="","",IFERROR(INDEX('Asset Register'!$B:$B,MATCH(A10,'Asset Register'!$A:$A,0)),""))</f>
        <v>A-F01</v>
      </c>
      <c r="C10" s="13" t="str">
        <f>IF(A10="","",IFERROR(INDEX('Asset Register'!$E:$E,MATCH(A10,'Asset Register'!$A:$A,0)),""))</f>
        <v>Primary US bank</v>
      </c>
      <c r="D10" s="12" t="str">
        <f>IF(A10="","",IFERROR(INDEX('Asset Register'!$D:$D,MATCH(A10,'Asset Register'!$A:$A,0)),""))</f>
        <v>Financial</v>
      </c>
      <c r="E10" s="12" t="str">
        <f>IF(A10="","",IFERROR(INDEX('Asset Register'!$J:$J,MATCH(A10,'Asset Register'!$A:$A,0)),""))</f>
        <v>Critical</v>
      </c>
      <c r="F10" s="11" t="s">
        <v>572</v>
      </c>
      <c r="G10" s="11" t="s">
        <v>55</v>
      </c>
      <c r="H10" s="11" t="s">
        <v>55</v>
      </c>
      <c r="I10" s="11" t="s">
        <v>29</v>
      </c>
      <c r="J10" s="11" t="s">
        <v>29</v>
      </c>
      <c r="K10" s="11" t="s">
        <v>29</v>
      </c>
      <c r="L10" s="11" t="s">
        <v>29</v>
      </c>
      <c r="M10" s="11" t="s">
        <v>29</v>
      </c>
      <c r="N10" s="12" t="str">
        <f t="shared" si="0"/>
        <v>Partial</v>
      </c>
      <c r="O10" s="12">
        <f t="shared" si="1"/>
        <v>3</v>
      </c>
      <c r="P10" s="12">
        <f t="shared" si="2"/>
        <v>0</v>
      </c>
      <c r="Q10" s="12">
        <f t="shared" si="3"/>
        <v>2</v>
      </c>
      <c r="R10" s="14" t="s">
        <v>56</v>
      </c>
      <c r="S10" s="14" t="s">
        <v>57</v>
      </c>
      <c r="T10" s="15" t="s">
        <v>58</v>
      </c>
      <c r="U10" s="15" t="s">
        <v>59</v>
      </c>
      <c r="V10" s="15" t="s">
        <v>60</v>
      </c>
      <c r="W10" s="15" t="s">
        <v>61</v>
      </c>
      <c r="X10" s="15" t="s">
        <v>47</v>
      </c>
      <c r="Y10" s="14" t="s">
        <v>62</v>
      </c>
      <c r="Z10" s="16" t="s">
        <v>63</v>
      </c>
    </row>
    <row r="11" spans="1:26" ht="80" x14ac:dyDescent="0.2">
      <c r="A11" s="11" t="s">
        <v>64</v>
      </c>
      <c r="B11" s="12" t="str">
        <f>IF(A11="","",IFERROR(INDEX('Asset Register'!$B:$B,MATCH(A11,'Asset Register'!$A:$A,0)),""))</f>
        <v>A-F02</v>
      </c>
      <c r="C11" s="13" t="str">
        <f>IF(A11="","",IFERROR(INDEX('Asset Register'!$E:$E,MATCH(A11,'Asset Register'!$A:$A,0)),""))</f>
        <v>International transfer service</v>
      </c>
      <c r="D11" s="12" t="str">
        <f>IF(A11="","",IFERROR(INDEX('Asset Register'!$D:$D,MATCH(A11,'Asset Register'!$A:$A,0)),""))</f>
        <v>Financial</v>
      </c>
      <c r="E11" s="12" t="str">
        <f>IF(A11="","",IFERROR(INDEX('Asset Register'!$J:$J,MATCH(A11,'Asset Register'!$A:$A,0)),""))</f>
        <v>Critical</v>
      </c>
      <c r="F11" s="11" t="s">
        <v>572</v>
      </c>
      <c r="G11" s="11" t="s">
        <v>573</v>
      </c>
      <c r="H11" s="11" t="s">
        <v>55</v>
      </c>
      <c r="I11" s="11" t="s">
        <v>29</v>
      </c>
      <c r="J11" s="11" t="s">
        <v>29</v>
      </c>
      <c r="K11" s="11" t="s">
        <v>29</v>
      </c>
      <c r="L11" s="11" t="s">
        <v>29</v>
      </c>
      <c r="M11" s="11" t="s">
        <v>29</v>
      </c>
      <c r="N11" s="12" t="str">
        <f t="shared" si="0"/>
        <v>Partial</v>
      </c>
      <c r="O11" s="12">
        <f t="shared" si="1"/>
        <v>3</v>
      </c>
      <c r="P11" s="12">
        <f t="shared" si="2"/>
        <v>0</v>
      </c>
      <c r="Q11" s="12">
        <f t="shared" si="3"/>
        <v>2</v>
      </c>
      <c r="R11" s="14" t="s">
        <v>65</v>
      </c>
      <c r="S11" s="14" t="s">
        <v>66</v>
      </c>
      <c r="T11" s="15" t="s">
        <v>67</v>
      </c>
      <c r="U11" s="15" t="s">
        <v>68</v>
      </c>
      <c r="V11" s="15" t="s">
        <v>69</v>
      </c>
      <c r="W11" s="15" t="s">
        <v>70</v>
      </c>
      <c r="X11" s="15" t="s">
        <v>47</v>
      </c>
      <c r="Y11" s="14" t="s">
        <v>71</v>
      </c>
      <c r="Z11" s="16" t="s">
        <v>72</v>
      </c>
    </row>
    <row r="12" spans="1:26" ht="80" x14ac:dyDescent="0.2">
      <c r="A12" s="11" t="s">
        <v>73</v>
      </c>
      <c r="B12" s="12" t="str">
        <f>IF(A12="","",IFERROR(INDEX('Asset Register'!$B:$B,MATCH(A12,'Asset Register'!$A:$A,0)),""))</f>
        <v>A-F03</v>
      </c>
      <c r="C12" s="13" t="str">
        <f>IF(A12="","",IFERROR(INDEX('Asset Register'!$E:$E,MATCH(A12,'Asset Register'!$A:$A,0)),""))</f>
        <v>Credit card portal (x1)</v>
      </c>
      <c r="D12" s="12" t="str">
        <f>IF(A12="","",IFERROR(INDEX('Asset Register'!$D:$D,MATCH(A12,'Asset Register'!$A:$A,0)),""))</f>
        <v>Financial</v>
      </c>
      <c r="E12" s="12" t="str">
        <f>IF(A12="","",IFERROR(INDEX('Asset Register'!$J:$J,MATCH(A12,'Asset Register'!$A:$A,0)),""))</f>
        <v>Critical</v>
      </c>
      <c r="F12" s="11" t="s">
        <v>572</v>
      </c>
      <c r="G12" s="11" t="s">
        <v>572</v>
      </c>
      <c r="H12" s="11" t="s">
        <v>55</v>
      </c>
      <c r="I12" s="11" t="s">
        <v>29</v>
      </c>
      <c r="J12" s="11" t="s">
        <v>29</v>
      </c>
      <c r="K12" s="11" t="s">
        <v>29</v>
      </c>
      <c r="L12" s="11" t="s">
        <v>29</v>
      </c>
      <c r="M12" s="11" t="s">
        <v>29</v>
      </c>
      <c r="N12" s="12" t="str">
        <f t="shared" si="0"/>
        <v>Partial</v>
      </c>
      <c r="O12" s="12">
        <f t="shared" si="1"/>
        <v>3</v>
      </c>
      <c r="P12" s="12">
        <f t="shared" si="2"/>
        <v>0</v>
      </c>
      <c r="Q12" s="12">
        <f t="shared" si="3"/>
        <v>1</v>
      </c>
      <c r="R12" s="14" t="s">
        <v>65</v>
      </c>
      <c r="S12" s="14" t="s">
        <v>74</v>
      </c>
      <c r="T12" s="15" t="s">
        <v>722</v>
      </c>
      <c r="U12" s="15" t="s">
        <v>723</v>
      </c>
      <c r="V12" s="15" t="s">
        <v>724</v>
      </c>
      <c r="W12" s="15" t="s">
        <v>725</v>
      </c>
      <c r="X12" s="15" t="s">
        <v>47</v>
      </c>
      <c r="Y12" s="14" t="s">
        <v>75</v>
      </c>
      <c r="Z12" s="16"/>
    </row>
    <row r="13" spans="1:26" ht="80" x14ac:dyDescent="0.2">
      <c r="A13" s="11" t="s">
        <v>76</v>
      </c>
      <c r="B13" s="12" t="str">
        <f>IF(A13="","",IFERROR(INDEX('Asset Register'!$B:$B,MATCH(A13,'Asset Register'!$A:$A,0)),""))</f>
        <v>A-F04</v>
      </c>
      <c r="C13" s="13" t="str">
        <f>IF(A13="","",IFERROR(INDEX('Asset Register'!$E:$E,MATCH(A13,'Asset Register'!$A:$A,0)),""))</f>
        <v>Debit card portals (x4)</v>
      </c>
      <c r="D13" s="12" t="str">
        <f>IF(A13="","",IFERROR(INDEX('Asset Register'!$D:$D,MATCH(A13,'Asset Register'!$A:$A,0)),""))</f>
        <v>Financial</v>
      </c>
      <c r="E13" s="12" t="str">
        <f>IF(A13="","",IFERROR(INDEX('Asset Register'!$J:$J,MATCH(A13,'Asset Register'!$A:$A,0)),""))</f>
        <v>High</v>
      </c>
      <c r="F13" s="11" t="s">
        <v>572</v>
      </c>
      <c r="G13" s="11" t="s">
        <v>572</v>
      </c>
      <c r="H13" s="11" t="s">
        <v>55</v>
      </c>
      <c r="I13" s="11" t="s">
        <v>29</v>
      </c>
      <c r="J13" s="11" t="s">
        <v>29</v>
      </c>
      <c r="K13" s="11" t="s">
        <v>29</v>
      </c>
      <c r="L13" s="11" t="s">
        <v>29</v>
      </c>
      <c r="M13" s="11" t="s">
        <v>29</v>
      </c>
      <c r="N13" s="12" t="str">
        <f t="shared" si="0"/>
        <v>Partial</v>
      </c>
      <c r="O13" s="12">
        <f t="shared" si="1"/>
        <v>3</v>
      </c>
      <c r="P13" s="12">
        <f t="shared" si="2"/>
        <v>0</v>
      </c>
      <c r="Q13" s="12">
        <f t="shared" si="3"/>
        <v>1</v>
      </c>
      <c r="R13" s="14" t="s">
        <v>77</v>
      </c>
      <c r="S13" s="14" t="s">
        <v>78</v>
      </c>
      <c r="T13" s="15" t="s">
        <v>722</v>
      </c>
      <c r="U13" s="15" t="s">
        <v>723</v>
      </c>
      <c r="V13" s="15" t="s">
        <v>724</v>
      </c>
      <c r="W13" s="15" t="s">
        <v>725</v>
      </c>
      <c r="X13" s="15"/>
      <c r="Y13" s="14"/>
      <c r="Z13" s="16"/>
    </row>
    <row r="14" spans="1:26" ht="80" x14ac:dyDescent="0.2">
      <c r="A14" s="11" t="s">
        <v>79</v>
      </c>
      <c r="B14" s="12" t="str">
        <f>IF(A14="","",IFERROR(INDEX('Asset Register'!$B:$B,MATCH(A14,'Asset Register'!$A:$A,0)),""))</f>
        <v>A-F05</v>
      </c>
      <c r="C14" s="13" t="str">
        <f>IF(A14="","",IFERROR(INDEX('Asset Register'!$E:$E,MATCH(A14,'Asset Register'!$A:$A,0)),""))</f>
        <v>Apple Pay</v>
      </c>
      <c r="D14" s="12" t="str">
        <f>IF(A14="","",IFERROR(INDEX('Asset Register'!$D:$D,MATCH(A14,'Asset Register'!$A:$A,0)),""))</f>
        <v>Financial</v>
      </c>
      <c r="E14" s="12" t="str">
        <f>IF(A14="","",IFERROR(INDEX('Asset Register'!$J:$J,MATCH(A14,'Asset Register'!$A:$A,0)),""))</f>
        <v>Critical</v>
      </c>
      <c r="F14" s="11" t="s">
        <v>29</v>
      </c>
      <c r="G14" s="11" t="s">
        <v>572</v>
      </c>
      <c r="H14" s="11" t="s">
        <v>572</v>
      </c>
      <c r="I14" s="11" t="s">
        <v>29</v>
      </c>
      <c r="J14" s="11" t="s">
        <v>29</v>
      </c>
      <c r="K14" s="11" t="s">
        <v>29</v>
      </c>
      <c r="L14" s="11" t="s">
        <v>29</v>
      </c>
      <c r="M14" s="11" t="s">
        <v>29</v>
      </c>
      <c r="N14" s="12" t="str">
        <f t="shared" si="0"/>
        <v>Implemented</v>
      </c>
      <c r="O14" s="12">
        <f t="shared" si="1"/>
        <v>2</v>
      </c>
      <c r="P14" s="12">
        <f t="shared" si="2"/>
        <v>0</v>
      </c>
      <c r="Q14" s="12">
        <f t="shared" si="3"/>
        <v>0</v>
      </c>
      <c r="R14" s="14" t="s">
        <v>80</v>
      </c>
      <c r="S14" s="14" t="s">
        <v>81</v>
      </c>
      <c r="T14" s="15" t="s">
        <v>730</v>
      </c>
      <c r="U14" s="15" t="s">
        <v>731</v>
      </c>
      <c r="V14" s="15" t="s">
        <v>732</v>
      </c>
      <c r="W14" s="15" t="s">
        <v>733</v>
      </c>
      <c r="X14" s="15"/>
      <c r="Y14" s="14"/>
      <c r="Z14" s="16"/>
    </row>
    <row r="15" spans="1:26" ht="96" x14ac:dyDescent="0.2">
      <c r="A15" s="11" t="s">
        <v>82</v>
      </c>
      <c r="B15" s="12" t="str">
        <f>IF(A15="","",IFERROR(INDEX('Asset Register'!$B:$B,MATCH(A15,'Asset Register'!$A:$A,0)),""))</f>
        <v>A-F06</v>
      </c>
      <c r="C15" s="13" t="str">
        <f>IF(A15="","",IFERROR(INDEX('Asset Register'!$E:$E,MATCH(A15,'Asset Register'!$A:$A,0)),""))</f>
        <v>P2P payment app</v>
      </c>
      <c r="D15" s="12" t="str">
        <f>IF(A15="","",IFERROR(INDEX('Asset Register'!$D:$D,MATCH(A15,'Asset Register'!$A:$A,0)),""))</f>
        <v>Financial</v>
      </c>
      <c r="E15" s="12" t="str">
        <f>IF(A15="","",IFERROR(INDEX('Asset Register'!$J:$J,MATCH(A15,'Asset Register'!$A:$A,0)),""))</f>
        <v>High</v>
      </c>
      <c r="F15" s="11" t="s">
        <v>55</v>
      </c>
      <c r="G15" s="11" t="s">
        <v>572</v>
      </c>
      <c r="H15" s="11" t="s">
        <v>55</v>
      </c>
      <c r="I15" s="11" t="s">
        <v>29</v>
      </c>
      <c r="J15" s="11" t="s">
        <v>29</v>
      </c>
      <c r="K15" s="11" t="s">
        <v>29</v>
      </c>
      <c r="L15" s="11" t="s">
        <v>29</v>
      </c>
      <c r="M15" s="11" t="s">
        <v>29</v>
      </c>
      <c r="N15" s="12" t="str">
        <f t="shared" si="0"/>
        <v>Partial</v>
      </c>
      <c r="O15" s="12">
        <f t="shared" si="1"/>
        <v>3</v>
      </c>
      <c r="P15" s="12">
        <f t="shared" si="2"/>
        <v>0</v>
      </c>
      <c r="Q15" s="12">
        <f t="shared" si="3"/>
        <v>2</v>
      </c>
      <c r="R15" s="14" t="s">
        <v>77</v>
      </c>
      <c r="S15" s="14" t="s">
        <v>78</v>
      </c>
      <c r="T15" s="15" t="s">
        <v>738</v>
      </c>
      <c r="U15" s="15" t="s">
        <v>739</v>
      </c>
      <c r="V15" s="15" t="s">
        <v>740</v>
      </c>
      <c r="W15" s="15" t="s">
        <v>741</v>
      </c>
      <c r="X15" s="15"/>
      <c r="Y15" s="14"/>
      <c r="Z15" s="16"/>
    </row>
    <row r="16" spans="1:26" ht="80" x14ac:dyDescent="0.2">
      <c r="A16" s="11" t="s">
        <v>83</v>
      </c>
      <c r="B16" s="12" t="str">
        <f>IF(A16="","",IFERROR(INDEX('Asset Register'!$B:$B,MATCH(A16,'Asset Register'!$A:$A,0)),""))</f>
        <v>A-F07</v>
      </c>
      <c r="C16" s="13" t="str">
        <f>IF(A16="","",IFERROR(INDEX('Asset Register'!$E:$E,MATCH(A16,'Asset Register'!$A:$A,0)),""))</f>
        <v>Bank-integrated transfer service</v>
      </c>
      <c r="D16" s="12" t="str">
        <f>IF(A16="","",IFERROR(INDEX('Asset Register'!$D:$D,MATCH(A16,'Asset Register'!$A:$A,0)),""))</f>
        <v>Financial</v>
      </c>
      <c r="E16" s="12" t="str">
        <f>IF(A16="","",IFERROR(INDEX('Asset Register'!$J:$J,MATCH(A16,'Asset Register'!$A:$A,0)),""))</f>
        <v>High</v>
      </c>
      <c r="F16" s="11" t="s">
        <v>55</v>
      </c>
      <c r="G16" s="11" t="s">
        <v>572</v>
      </c>
      <c r="H16" s="11" t="s">
        <v>55</v>
      </c>
      <c r="I16" s="11" t="s">
        <v>29</v>
      </c>
      <c r="J16" s="11" t="s">
        <v>29</v>
      </c>
      <c r="K16" s="11" t="s">
        <v>29</v>
      </c>
      <c r="L16" s="11" t="s">
        <v>29</v>
      </c>
      <c r="M16" s="11" t="s">
        <v>29</v>
      </c>
      <c r="N16" s="12" t="str">
        <f>IF(COUNTA(F16:M16)=0,"",IF((COUNTIF(F16:M16,"Implemented")+COUNTIF(F16:M16,"Partial")+COUNTIF(F16:M16,"Not Implemented"))+COUNTIF(F16:M16,"??")=0,"N/A",IF((COUNTIF(F16:M16,"Implemented")+COUNTIF(F16:M16,"Partial")+COUNTIF(F16:M16,"Not Implemented"))=0,"??",IF(COUNTIF(F16:M16,"Implemented")=(COUNTIF(F16:M16,"Implemented")+COUNTIF(F16:M16,"Partial")+COUNTIF(F16:M16,"Not Implemented")),"Implemented",IF(COUNTIF(F16:M16,"Not Implemented")=(COUNTIF(F16:M16,"Implemented")+COUNTIF(F16:M16,"Partial")+COUNTIF(F16:M16,"Not Implemented")),"Not Implemented","Partial")))))</f>
        <v>Partial</v>
      </c>
      <c r="O16" s="12">
        <f t="shared" si="1"/>
        <v>3</v>
      </c>
      <c r="P16" s="12">
        <f t="shared" si="2"/>
        <v>0</v>
      </c>
      <c r="Q16" s="12">
        <f t="shared" si="3"/>
        <v>2</v>
      </c>
      <c r="R16" s="14" t="s">
        <v>77</v>
      </c>
      <c r="S16" s="14" t="s">
        <v>78</v>
      </c>
      <c r="T16" s="15" t="s">
        <v>746</v>
      </c>
      <c r="U16" s="15" t="s">
        <v>747</v>
      </c>
      <c r="V16" s="15" t="s">
        <v>748</v>
      </c>
      <c r="W16" s="15" t="s">
        <v>741</v>
      </c>
      <c r="X16" s="15"/>
      <c r="Y16" s="14"/>
      <c r="Z16" s="16"/>
    </row>
    <row r="17" spans="1:26" ht="96" x14ac:dyDescent="0.2">
      <c r="A17" s="11" t="s">
        <v>84</v>
      </c>
      <c r="B17" s="12" t="str">
        <f>IF(A17="","",IFERROR(INDEX('Asset Register'!$B:$B,MATCH(A17,'Asset Register'!$A:$A,0)),""))</f>
        <v>A-I01</v>
      </c>
      <c r="C17" s="13" t="str">
        <f>IF(A17="","",IFERROR(INDEX('Asset Register'!$E:$E,MATCH(A17,'Asset Register'!$A:$A,0)),""))</f>
        <v>Gmail (primary)</v>
      </c>
      <c r="D17" s="12" t="str">
        <f>IF(A17="","",IFERROR(INDEX('Asset Register'!$D:$D,MATCH(A17,'Asset Register'!$A:$A,0)),""))</f>
        <v>Identity &amp; Email</v>
      </c>
      <c r="E17" s="12" t="str">
        <f>IF(A17="","",IFERROR(INDEX('Asset Register'!$J:$J,MATCH(A17,'Asset Register'!$A:$A,0)),""))</f>
        <v>Critical</v>
      </c>
      <c r="F17" s="11" t="s">
        <v>55</v>
      </c>
      <c r="G17" s="11" t="s">
        <v>572</v>
      </c>
      <c r="H17" s="11" t="s">
        <v>572</v>
      </c>
      <c r="I17" s="11" t="s">
        <v>29</v>
      </c>
      <c r="J17" s="11" t="s">
        <v>29</v>
      </c>
      <c r="K17" s="11" t="s">
        <v>29</v>
      </c>
      <c r="L17" s="11" t="s">
        <v>29</v>
      </c>
      <c r="M17" s="11" t="s">
        <v>29</v>
      </c>
      <c r="N17" s="12" t="str">
        <f t="shared" si="0"/>
        <v>Partial</v>
      </c>
      <c r="O17" s="12">
        <f t="shared" si="1"/>
        <v>3</v>
      </c>
      <c r="P17" s="12">
        <f t="shared" si="2"/>
        <v>0</v>
      </c>
      <c r="Q17" s="12">
        <f t="shared" si="3"/>
        <v>1</v>
      </c>
      <c r="R17" s="14" t="s">
        <v>85</v>
      </c>
      <c r="S17" s="14" t="s">
        <v>78</v>
      </c>
      <c r="T17" s="15" t="s">
        <v>86</v>
      </c>
      <c r="U17" s="15" t="s">
        <v>87</v>
      </c>
      <c r="V17" s="15" t="s">
        <v>88</v>
      </c>
      <c r="W17" s="15" t="s">
        <v>89</v>
      </c>
      <c r="X17" s="15"/>
      <c r="Y17" s="14" t="s">
        <v>90</v>
      </c>
      <c r="Z17" s="16" t="s">
        <v>91</v>
      </c>
    </row>
    <row r="18" spans="1:26" ht="64" x14ac:dyDescent="0.2">
      <c r="A18" s="11" t="s">
        <v>92</v>
      </c>
      <c r="B18" s="12" t="str">
        <f>IF(A18="","",IFERROR(INDEX('Asset Register'!$B:$B,MATCH(A18,'Asset Register'!$A:$A,0)),""))</f>
        <v>A-I02</v>
      </c>
      <c r="C18" s="13" t="str">
        <f>IF(A18="","",IFERROR(INDEX('Asset Register'!$E:$E,MATCH(A18,'Asset Register'!$A:$A,0)),""))</f>
        <v>Gmail (secondary)</v>
      </c>
      <c r="D18" s="12" t="str">
        <f>IF(A18="","",IFERROR(INDEX('Asset Register'!$D:$D,MATCH(A18,'Asset Register'!$A:$A,0)),""))</f>
        <v>Identity &amp; Email</v>
      </c>
      <c r="E18" s="12" t="str">
        <f>IF(A18="","",IFERROR(INDEX('Asset Register'!$J:$J,MATCH(A18,'Asset Register'!$A:$A,0)),""))</f>
        <v>High</v>
      </c>
      <c r="F18" s="11" t="s">
        <v>572</v>
      </c>
      <c r="G18" s="11" t="s">
        <v>572</v>
      </c>
      <c r="H18" s="11" t="s">
        <v>572</v>
      </c>
      <c r="I18" s="11" t="s">
        <v>29</v>
      </c>
      <c r="J18" s="11" t="s">
        <v>29</v>
      </c>
      <c r="K18" s="11" t="s">
        <v>29</v>
      </c>
      <c r="L18" s="11" t="s">
        <v>29</v>
      </c>
      <c r="M18" s="11" t="s">
        <v>29</v>
      </c>
      <c r="N18" s="12" t="str">
        <f t="shared" si="0"/>
        <v>Implemented</v>
      </c>
      <c r="O18" s="12">
        <f t="shared" si="1"/>
        <v>3</v>
      </c>
      <c r="P18" s="12">
        <f t="shared" si="2"/>
        <v>0</v>
      </c>
      <c r="Q18" s="12">
        <f t="shared" si="3"/>
        <v>0</v>
      </c>
      <c r="R18" s="14" t="s">
        <v>93</v>
      </c>
      <c r="S18" s="14" t="s">
        <v>94</v>
      </c>
      <c r="T18" s="15" t="s">
        <v>86</v>
      </c>
      <c r="U18" s="15" t="s">
        <v>87</v>
      </c>
      <c r="V18" s="15" t="s">
        <v>88</v>
      </c>
      <c r="W18" s="15" t="s">
        <v>89</v>
      </c>
      <c r="X18" s="15"/>
      <c r="Y18" s="14" t="s">
        <v>95</v>
      </c>
      <c r="Z18" s="16"/>
    </row>
    <row r="19" spans="1:26" ht="80" x14ac:dyDescent="0.2">
      <c r="A19" s="11" t="s">
        <v>96</v>
      </c>
      <c r="B19" s="12" t="str">
        <f>IF(A19="","",IFERROR(INDEX('Asset Register'!$B:$B,MATCH(A19,'Asset Register'!$A:$A,0)),""))</f>
        <v>A-I03</v>
      </c>
      <c r="C19" s="13" t="str">
        <f>IF(A19="","",IFERROR(INDEX('Asset Register'!$E:$E,MATCH(A19,'Asset Register'!$A:$A,0)),""))</f>
        <v>College email</v>
      </c>
      <c r="D19" s="12" t="str">
        <f>IF(A19="","",IFERROR(INDEX('Asset Register'!$D:$D,MATCH(A19,'Asset Register'!$A:$A,0)),""))</f>
        <v>Identity &amp; Email</v>
      </c>
      <c r="E19" s="12" t="str">
        <f>IF(A19="","",IFERROR(INDEX('Asset Register'!$J:$J,MATCH(A19,'Asset Register'!$A:$A,0)),""))</f>
        <v>High</v>
      </c>
      <c r="F19" s="11" t="s">
        <v>55</v>
      </c>
      <c r="G19" s="11" t="s">
        <v>572</v>
      </c>
      <c r="H19" s="11" t="s">
        <v>55</v>
      </c>
      <c r="I19" s="11" t="s">
        <v>29</v>
      </c>
      <c r="J19" s="11" t="s">
        <v>29</v>
      </c>
      <c r="K19" s="11" t="s">
        <v>29</v>
      </c>
      <c r="L19" s="11" t="s">
        <v>29</v>
      </c>
      <c r="M19" s="11" t="s">
        <v>29</v>
      </c>
      <c r="N19" s="12" t="str">
        <f t="shared" si="0"/>
        <v>Partial</v>
      </c>
      <c r="O19" s="12">
        <f t="shared" si="1"/>
        <v>3</v>
      </c>
      <c r="P19" s="12">
        <f t="shared" si="2"/>
        <v>0</v>
      </c>
      <c r="Q19" s="12">
        <f t="shared" si="3"/>
        <v>2</v>
      </c>
      <c r="R19" s="14" t="s">
        <v>77</v>
      </c>
      <c r="S19" s="14" t="s">
        <v>78</v>
      </c>
      <c r="T19" s="15" t="s">
        <v>753</v>
      </c>
      <c r="U19" s="15" t="s">
        <v>754</v>
      </c>
      <c r="V19" s="15" t="s">
        <v>755</v>
      </c>
      <c r="W19" s="15" t="s">
        <v>756</v>
      </c>
      <c r="X19" s="15"/>
      <c r="Y19" s="14"/>
      <c r="Z19" s="16"/>
    </row>
    <row r="20" spans="1:26" ht="80" x14ac:dyDescent="0.2">
      <c r="A20" s="11" t="s">
        <v>97</v>
      </c>
      <c r="B20" s="12" t="str">
        <f>IF(A20="","",IFERROR(INDEX('Asset Register'!$B:$B,MATCH(A20,'Asset Register'!$A:$A,0)),""))</f>
        <v>A-I04</v>
      </c>
      <c r="C20" s="13" t="str">
        <f>IF(A20="","",IFERROR(INDEX('Asset Register'!$E:$E,MATCH(A20,'Asset Register'!$A:$A,0)),""))</f>
        <v>Outlook account</v>
      </c>
      <c r="D20" s="12" t="str">
        <f>IF(A20="","",IFERROR(INDEX('Asset Register'!$D:$D,MATCH(A20,'Asset Register'!$A:$A,0)),""))</f>
        <v>Identity &amp; Email</v>
      </c>
      <c r="E20" s="12" t="str">
        <f>IF(A20="","",IFERROR(INDEX('Asset Register'!$J:$J,MATCH(A20,'Asset Register'!$A:$A,0)),""))</f>
        <v>Medium</v>
      </c>
      <c r="F20" s="11" t="s">
        <v>55</v>
      </c>
      <c r="G20" s="11" t="s">
        <v>572</v>
      </c>
      <c r="H20" s="11" t="s">
        <v>55</v>
      </c>
      <c r="I20" s="11" t="s">
        <v>29</v>
      </c>
      <c r="J20" s="11" t="s">
        <v>29</v>
      </c>
      <c r="K20" s="11" t="s">
        <v>29</v>
      </c>
      <c r="L20" s="11" t="s">
        <v>29</v>
      </c>
      <c r="M20" s="11" t="s">
        <v>29</v>
      </c>
      <c r="N20" s="12" t="str">
        <f t="shared" si="0"/>
        <v>Partial</v>
      </c>
      <c r="O20" s="12">
        <f t="shared" si="1"/>
        <v>3</v>
      </c>
      <c r="P20" s="12">
        <f t="shared" si="2"/>
        <v>0</v>
      </c>
      <c r="Q20" s="12">
        <f t="shared" si="3"/>
        <v>2</v>
      </c>
      <c r="R20" s="14" t="s">
        <v>77</v>
      </c>
      <c r="S20" s="14" t="s">
        <v>78</v>
      </c>
      <c r="T20" s="15" t="s">
        <v>761</v>
      </c>
      <c r="U20" s="15" t="s">
        <v>762</v>
      </c>
      <c r="V20" s="15" t="s">
        <v>748</v>
      </c>
      <c r="W20" s="15" t="s">
        <v>741</v>
      </c>
      <c r="X20" s="15"/>
      <c r="Y20" s="14"/>
      <c r="Z20" s="16"/>
    </row>
    <row r="21" spans="1:26" ht="112" x14ac:dyDescent="0.2">
      <c r="A21" s="11" t="s">
        <v>98</v>
      </c>
      <c r="B21" s="12" t="str">
        <f>IF(A21="","",IFERROR(INDEX('Asset Register'!$B:$B,MATCH(A21,'Asset Register'!$A:$A,0)),""))</f>
        <v>A-I05</v>
      </c>
      <c r="C21" s="13" t="str">
        <f>IF(A21="","",IFERROR(INDEX('Asset Register'!$E:$E,MATCH(A21,'Asset Register'!$A:$A,0)),""))</f>
        <v>Apple ID</v>
      </c>
      <c r="D21" s="12" t="str">
        <f>IF(A21="","",IFERROR(INDEX('Asset Register'!$D:$D,MATCH(A21,'Asset Register'!$A:$A,0)),""))</f>
        <v>Identity &amp; Email</v>
      </c>
      <c r="E21" s="12" t="str">
        <f>IF(A21="","",IFERROR(INDEX('Asset Register'!$J:$J,MATCH(A21,'Asset Register'!$A:$A,0)),""))</f>
        <v>Critical</v>
      </c>
      <c r="F21" s="11" t="s">
        <v>572</v>
      </c>
      <c r="G21" s="11" t="s">
        <v>572</v>
      </c>
      <c r="H21" s="11" t="s">
        <v>55</v>
      </c>
      <c r="I21" s="11" t="s">
        <v>29</v>
      </c>
      <c r="J21" s="11" t="s">
        <v>29</v>
      </c>
      <c r="K21" s="11" t="s">
        <v>29</v>
      </c>
      <c r="L21" s="11" t="s">
        <v>29</v>
      </c>
      <c r="M21" s="11" t="s">
        <v>29</v>
      </c>
      <c r="N21" s="12" t="str">
        <f t="shared" si="0"/>
        <v>Partial</v>
      </c>
      <c r="O21" s="12">
        <f t="shared" si="1"/>
        <v>3</v>
      </c>
      <c r="P21" s="12">
        <f t="shared" si="2"/>
        <v>0</v>
      </c>
      <c r="Q21" s="12">
        <f t="shared" si="3"/>
        <v>1</v>
      </c>
      <c r="R21" s="14" t="s">
        <v>99</v>
      </c>
      <c r="S21" s="14" t="s">
        <v>100</v>
      </c>
      <c r="T21" s="15" t="s">
        <v>101</v>
      </c>
      <c r="U21" s="15" t="s">
        <v>102</v>
      </c>
      <c r="V21" s="15" t="s">
        <v>103</v>
      </c>
      <c r="W21" s="15" t="s">
        <v>104</v>
      </c>
      <c r="X21" s="15" t="s">
        <v>105</v>
      </c>
      <c r="Y21" s="14" t="s">
        <v>106</v>
      </c>
      <c r="Z21" s="16" t="s">
        <v>107</v>
      </c>
    </row>
    <row r="22" spans="1:26" ht="112" x14ac:dyDescent="0.2">
      <c r="A22" s="11" t="s">
        <v>108</v>
      </c>
      <c r="B22" s="12" t="str">
        <f>IF(A22="","",IFERROR(INDEX('Asset Register'!$B:$B,MATCH(A22,'Asset Register'!$A:$A,0)),""))</f>
        <v>A-I06</v>
      </c>
      <c r="C22" s="13" t="str">
        <f>IF(A22="","",IFERROR(INDEX('Asset Register'!$E:$E,MATCH(A22,'Asset Register'!$A:$A,0)),""))</f>
        <v>Google Account</v>
      </c>
      <c r="D22" s="12" t="str">
        <f>IF(A22="","",IFERROR(INDEX('Asset Register'!$D:$D,MATCH(A22,'Asset Register'!$A:$A,0)),""))</f>
        <v>Identity &amp; Email</v>
      </c>
      <c r="E22" s="12" t="str">
        <f>IF(A22="","",IFERROR(INDEX('Asset Register'!$J:$J,MATCH(A22,'Asset Register'!$A:$A,0)),""))</f>
        <v>Critical</v>
      </c>
      <c r="F22" s="11" t="s">
        <v>55</v>
      </c>
      <c r="G22" s="11" t="s">
        <v>572</v>
      </c>
      <c r="H22" s="11" t="s">
        <v>55</v>
      </c>
      <c r="I22" s="11" t="s">
        <v>29</v>
      </c>
      <c r="J22" s="11" t="s">
        <v>29</v>
      </c>
      <c r="K22" s="11" t="s">
        <v>29</v>
      </c>
      <c r="L22" s="11" t="s">
        <v>29</v>
      </c>
      <c r="M22" s="11" t="s">
        <v>29</v>
      </c>
      <c r="N22" s="12" t="str">
        <f t="shared" si="0"/>
        <v>Partial</v>
      </c>
      <c r="O22" s="12">
        <f t="shared" si="1"/>
        <v>3</v>
      </c>
      <c r="P22" s="12">
        <f t="shared" si="2"/>
        <v>0</v>
      </c>
      <c r="Q22" s="12">
        <f t="shared" si="3"/>
        <v>2</v>
      </c>
      <c r="R22" s="14" t="s">
        <v>109</v>
      </c>
      <c r="S22" s="14" t="s">
        <v>110</v>
      </c>
      <c r="T22" s="15" t="s">
        <v>111</v>
      </c>
      <c r="U22" s="15" t="s">
        <v>112</v>
      </c>
      <c r="V22" s="15" t="s">
        <v>113</v>
      </c>
      <c r="W22" s="15" t="s">
        <v>114</v>
      </c>
      <c r="X22" s="15" t="s">
        <v>47</v>
      </c>
      <c r="Y22" s="14" t="s">
        <v>115</v>
      </c>
      <c r="Z22" s="16" t="s">
        <v>116</v>
      </c>
    </row>
    <row r="23" spans="1:26" ht="80" x14ac:dyDescent="0.2">
      <c r="A23" s="11" t="s">
        <v>117</v>
      </c>
      <c r="B23" s="12" t="str">
        <f>IF(A23="","",IFERROR(INDEX('Asset Register'!$B:$B,MATCH(A23,'Asset Register'!$A:$A,0)),""))</f>
        <v>A-I07</v>
      </c>
      <c r="C23" s="13" t="str">
        <f>IF(A23="","",IFERROR(INDEX('Asset Register'!$E:$E,MATCH(A23,'Asset Register'!$A:$A,0)),""))</f>
        <v>Microsoft 365 (institution-provided)</v>
      </c>
      <c r="D23" s="12" t="str">
        <f>IF(A23="","",IFERROR(INDEX('Asset Register'!$D:$D,MATCH(A23,'Asset Register'!$A:$A,0)),""))</f>
        <v>Identity &amp; Email</v>
      </c>
      <c r="E23" s="12" t="str">
        <f>IF(A23="","",IFERROR(INDEX('Asset Register'!$J:$J,MATCH(A23,'Asset Register'!$A:$A,0)),""))</f>
        <v>Medium</v>
      </c>
      <c r="F23" s="11" t="s">
        <v>55</v>
      </c>
      <c r="G23" s="11" t="s">
        <v>55</v>
      </c>
      <c r="H23" s="11" t="s">
        <v>55</v>
      </c>
      <c r="I23" s="11" t="s">
        <v>29</v>
      </c>
      <c r="J23" s="11" t="s">
        <v>29</v>
      </c>
      <c r="K23" s="11" t="s">
        <v>29</v>
      </c>
      <c r="L23" s="11" t="s">
        <v>29</v>
      </c>
      <c r="M23" s="11" t="s">
        <v>29</v>
      </c>
      <c r="N23" s="12" t="str">
        <f t="shared" si="0"/>
        <v>Partial</v>
      </c>
      <c r="O23" s="12">
        <f t="shared" si="1"/>
        <v>3</v>
      </c>
      <c r="P23" s="12">
        <f t="shared" si="2"/>
        <v>0</v>
      </c>
      <c r="Q23" s="12">
        <f t="shared" si="3"/>
        <v>3</v>
      </c>
      <c r="R23" s="14" t="s">
        <v>77</v>
      </c>
      <c r="S23" s="14" t="s">
        <v>78</v>
      </c>
      <c r="T23" s="15" t="s">
        <v>767</v>
      </c>
      <c r="U23" s="15" t="s">
        <v>768</v>
      </c>
      <c r="V23" s="15" t="s">
        <v>769</v>
      </c>
      <c r="W23" s="15" t="s">
        <v>770</v>
      </c>
      <c r="X23" s="15"/>
      <c r="Y23" s="14"/>
      <c r="Z23" s="16"/>
    </row>
    <row r="24" spans="1:26" ht="80" x14ac:dyDescent="0.2">
      <c r="A24" s="11" t="s">
        <v>118</v>
      </c>
      <c r="B24" s="12" t="str">
        <f>IF(A24="","",IFERROR(INDEX('Asset Register'!$B:$B,MATCH(A24,'Asset Register'!$A:$A,0)),""))</f>
        <v>A-E01</v>
      </c>
      <c r="C24" s="13" t="str">
        <f>IF(A24="","",IFERROR(INDEX('Asset Register'!$E:$E,MATCH(A24,'Asset Register'!$A:$A,0)),""))</f>
        <v>College student portal</v>
      </c>
      <c r="D24" s="12" t="str">
        <f>IF(A24="","",IFERROR(INDEX('Asset Register'!$D:$D,MATCH(A24,'Asset Register'!$A:$A,0)),""))</f>
        <v>Education &amp; Learning</v>
      </c>
      <c r="E24" s="12" t="str">
        <f>IF(A24="","",IFERROR(INDEX('Asset Register'!$J:$J,MATCH(A24,'Asset Register'!$A:$A,0)),""))</f>
        <v>Critical</v>
      </c>
      <c r="F24" s="11" t="s">
        <v>55</v>
      </c>
      <c r="G24" s="11" t="s">
        <v>572</v>
      </c>
      <c r="H24" s="11" t="s">
        <v>55</v>
      </c>
      <c r="I24" s="11" t="s">
        <v>29</v>
      </c>
      <c r="J24" s="11" t="s">
        <v>29</v>
      </c>
      <c r="K24" s="11" t="s">
        <v>29</v>
      </c>
      <c r="L24" s="11" t="s">
        <v>29</v>
      </c>
      <c r="M24" s="11" t="s">
        <v>29</v>
      </c>
      <c r="N24" s="12" t="str">
        <f t="shared" si="0"/>
        <v>Partial</v>
      </c>
      <c r="O24" s="12">
        <f t="shared" si="1"/>
        <v>3</v>
      </c>
      <c r="P24" s="12">
        <f t="shared" si="2"/>
        <v>0</v>
      </c>
      <c r="Q24" s="12">
        <f t="shared" si="3"/>
        <v>2</v>
      </c>
      <c r="R24" s="14" t="s">
        <v>77</v>
      </c>
      <c r="S24" s="14" t="s">
        <v>78</v>
      </c>
      <c r="T24" s="15" t="s">
        <v>775</v>
      </c>
      <c r="U24" s="15" t="s">
        <v>776</v>
      </c>
      <c r="V24" s="15" t="s">
        <v>777</v>
      </c>
      <c r="W24" s="15" t="s">
        <v>778</v>
      </c>
      <c r="X24" s="15"/>
      <c r="Y24" s="14" t="s">
        <v>119</v>
      </c>
      <c r="Z24" s="16"/>
    </row>
    <row r="25" spans="1:26" ht="80" x14ac:dyDescent="0.2">
      <c r="A25" s="11" t="s">
        <v>120</v>
      </c>
      <c r="B25" s="12" t="str">
        <f>IF(A25="","",IFERROR(INDEX('Asset Register'!$B:$B,MATCH(A25,'Asset Register'!$A:$A,0)),""))</f>
        <v>A-E02</v>
      </c>
      <c r="C25" s="13" t="str">
        <f>IF(A25="","",IFERROR(INDEX('Asset Register'!$E:$E,MATCH(A25,'Asset Register'!$A:$A,0)),""))</f>
        <v>Learning management system</v>
      </c>
      <c r="D25" s="12" t="str">
        <f>IF(A25="","",IFERROR(INDEX('Asset Register'!$D:$D,MATCH(A25,'Asset Register'!$A:$A,0)),""))</f>
        <v>Education &amp; Learning</v>
      </c>
      <c r="E25" s="12" t="str">
        <f>IF(A25="","",IFERROR(INDEX('Asset Register'!$J:$J,MATCH(A25,'Asset Register'!$A:$A,0)),""))</f>
        <v>High</v>
      </c>
      <c r="F25" s="11" t="s">
        <v>55</v>
      </c>
      <c r="G25" s="11" t="s">
        <v>55</v>
      </c>
      <c r="H25" s="11" t="s">
        <v>55</v>
      </c>
      <c r="I25" s="11" t="s">
        <v>29</v>
      </c>
      <c r="J25" s="11" t="s">
        <v>29</v>
      </c>
      <c r="K25" s="11" t="s">
        <v>29</v>
      </c>
      <c r="L25" s="11" t="s">
        <v>29</v>
      </c>
      <c r="M25" s="11" t="s">
        <v>29</v>
      </c>
      <c r="N25" s="12" t="str">
        <f t="shared" si="0"/>
        <v>Partial</v>
      </c>
      <c r="O25" s="12">
        <f t="shared" si="1"/>
        <v>3</v>
      </c>
      <c r="P25" s="12">
        <f t="shared" si="2"/>
        <v>0</v>
      </c>
      <c r="Q25" s="12">
        <f t="shared" si="3"/>
        <v>3</v>
      </c>
      <c r="R25" s="14" t="s">
        <v>77</v>
      </c>
      <c r="S25" s="14" t="s">
        <v>78</v>
      </c>
      <c r="T25" s="15" t="s">
        <v>783</v>
      </c>
      <c r="U25" s="15" t="s">
        <v>784</v>
      </c>
      <c r="V25" s="15" t="s">
        <v>785</v>
      </c>
      <c r="W25" s="15" t="s">
        <v>786</v>
      </c>
      <c r="X25" s="15"/>
      <c r="Y25" s="14"/>
      <c r="Z25" s="16"/>
    </row>
    <row r="26" spans="1:26" ht="80" x14ac:dyDescent="0.2">
      <c r="A26" s="11" t="s">
        <v>121</v>
      </c>
      <c r="B26" s="12" t="str">
        <f>IF(A26="","",IFERROR(INDEX('Asset Register'!$B:$B,MATCH(A26,'Asset Register'!$A:$A,0)),""))</f>
        <v>A-E03</v>
      </c>
      <c r="C26" s="13" t="str">
        <f>IF(A26="","",IFERROR(INDEX('Asset Register'!$E:$E,MATCH(A26,'Asset Register'!$A:$A,0)),""))</f>
        <v>English proficiency test account</v>
      </c>
      <c r="D26" s="12" t="str">
        <f>IF(A26="","",IFERROR(INDEX('Asset Register'!$D:$D,MATCH(A26,'Asset Register'!$A:$A,0)),""))</f>
        <v>Education &amp; Learning</v>
      </c>
      <c r="E26" s="12" t="str">
        <f>IF(A26="","",IFERROR(INDEX('Asset Register'!$J:$J,MATCH(A26,'Asset Register'!$A:$A,0)),""))</f>
        <v>Medium</v>
      </c>
      <c r="F26" s="11" t="s">
        <v>55</v>
      </c>
      <c r="G26" s="11" t="s">
        <v>55</v>
      </c>
      <c r="H26" s="11" t="s">
        <v>55</v>
      </c>
      <c r="I26" s="11" t="s">
        <v>29</v>
      </c>
      <c r="J26" s="11" t="s">
        <v>29</v>
      </c>
      <c r="K26" s="11" t="s">
        <v>29</v>
      </c>
      <c r="L26" s="11" t="s">
        <v>29</v>
      </c>
      <c r="M26" s="11" t="s">
        <v>29</v>
      </c>
      <c r="N26" s="12" t="str">
        <f t="shared" si="0"/>
        <v>Partial</v>
      </c>
      <c r="O26" s="12">
        <f t="shared" si="1"/>
        <v>3</v>
      </c>
      <c r="P26" s="12">
        <f t="shared" si="2"/>
        <v>0</v>
      </c>
      <c r="Q26" s="12">
        <f t="shared" si="3"/>
        <v>3</v>
      </c>
      <c r="R26" s="14" t="s">
        <v>77</v>
      </c>
      <c r="S26" s="14" t="s">
        <v>78</v>
      </c>
      <c r="T26" s="15" t="s">
        <v>791</v>
      </c>
      <c r="U26" s="15" t="s">
        <v>792</v>
      </c>
      <c r="V26" s="15" t="s">
        <v>793</v>
      </c>
      <c r="W26" s="15" t="s">
        <v>794</v>
      </c>
      <c r="X26" s="15"/>
      <c r="Y26" s="14"/>
      <c r="Z26" s="16"/>
    </row>
    <row r="27" spans="1:26" ht="80" x14ac:dyDescent="0.2">
      <c r="A27" s="11" t="s">
        <v>122</v>
      </c>
      <c r="B27" s="12" t="str">
        <f>IF(A27="","",IFERROR(INDEX('Asset Register'!$B:$B,MATCH(A27,'Asset Register'!$A:$A,0)),""))</f>
        <v>A-E04</v>
      </c>
      <c r="C27" s="13" t="str">
        <f>IF(A27="","",IFERROR(INDEX('Asset Register'!$E:$E,MATCH(A27,'Asset Register'!$A:$A,0)),""))</f>
        <v>Programming learning platform</v>
      </c>
      <c r="D27" s="12" t="str">
        <f>IF(A27="","",IFERROR(INDEX('Asset Register'!$D:$D,MATCH(A27,'Asset Register'!$A:$A,0)),""))</f>
        <v>Education &amp; Learning</v>
      </c>
      <c r="E27" s="12" t="str">
        <f>IF(A27="","",IFERROR(INDEX('Asset Register'!$J:$J,MATCH(A27,'Asset Register'!$A:$A,0)),""))</f>
        <v>Low</v>
      </c>
      <c r="F27" s="11" t="s">
        <v>55</v>
      </c>
      <c r="G27" s="11" t="s">
        <v>55</v>
      </c>
      <c r="H27" s="11" t="s">
        <v>55</v>
      </c>
      <c r="I27" s="11" t="s">
        <v>29</v>
      </c>
      <c r="J27" s="11" t="s">
        <v>29</v>
      </c>
      <c r="K27" s="11" t="s">
        <v>29</v>
      </c>
      <c r="L27" s="11" t="s">
        <v>29</v>
      </c>
      <c r="M27" s="11" t="s">
        <v>29</v>
      </c>
      <c r="N27" s="12" t="str">
        <f t="shared" si="0"/>
        <v>Partial</v>
      </c>
      <c r="O27" s="12">
        <f t="shared" si="1"/>
        <v>3</v>
      </c>
      <c r="P27" s="12">
        <f t="shared" si="2"/>
        <v>0</v>
      </c>
      <c r="Q27" s="12">
        <f t="shared" si="3"/>
        <v>3</v>
      </c>
      <c r="R27" s="14" t="s">
        <v>77</v>
      </c>
      <c r="S27" s="14" t="s">
        <v>78</v>
      </c>
      <c r="T27" s="15" t="s">
        <v>791</v>
      </c>
      <c r="U27" s="15" t="s">
        <v>792</v>
      </c>
      <c r="V27" s="15" t="s">
        <v>798</v>
      </c>
      <c r="W27" s="15" t="s">
        <v>799</v>
      </c>
      <c r="X27" s="15"/>
      <c r="Y27" s="14"/>
      <c r="Z27" s="16"/>
    </row>
    <row r="28" spans="1:26" ht="80" x14ac:dyDescent="0.2">
      <c r="A28" s="11" t="s">
        <v>123</v>
      </c>
      <c r="B28" s="12" t="str">
        <f>IF(A28="","",IFERROR(INDEX('Asset Register'!$B:$B,MATCH(A28,'Asset Register'!$A:$A,0)),""))</f>
        <v>A-E05</v>
      </c>
      <c r="C28" s="13" t="str">
        <f>IF(A28="","",IFERROR(INDEX('Asset Register'!$E:$E,MATCH(A28,'Asset Register'!$A:$A,0)),""))</f>
        <v>TryHackMe</v>
      </c>
      <c r="D28" s="12" t="str">
        <f>IF(A28="","",IFERROR(INDEX('Asset Register'!$D:$D,MATCH(A28,'Asset Register'!$A:$A,0)),""))</f>
        <v>Education &amp; Learning</v>
      </c>
      <c r="E28" s="12" t="str">
        <f>IF(A28="","",IFERROR(INDEX('Asset Register'!$J:$J,MATCH(A28,'Asset Register'!$A:$A,0)),""))</f>
        <v>Low</v>
      </c>
      <c r="F28" s="11" t="s">
        <v>55</v>
      </c>
      <c r="G28" s="11" t="s">
        <v>572</v>
      </c>
      <c r="H28" s="11" t="s">
        <v>55</v>
      </c>
      <c r="I28" s="11" t="s">
        <v>29</v>
      </c>
      <c r="J28" s="11" t="s">
        <v>29</v>
      </c>
      <c r="K28" s="11" t="s">
        <v>29</v>
      </c>
      <c r="L28" s="11" t="s">
        <v>29</v>
      </c>
      <c r="M28" s="11" t="s">
        <v>29</v>
      </c>
      <c r="N28" s="12" t="str">
        <f t="shared" si="0"/>
        <v>Partial</v>
      </c>
      <c r="O28" s="12">
        <f t="shared" si="1"/>
        <v>3</v>
      </c>
      <c r="P28" s="12">
        <f t="shared" si="2"/>
        <v>0</v>
      </c>
      <c r="Q28" s="12">
        <f t="shared" si="3"/>
        <v>2</v>
      </c>
      <c r="R28" s="14" t="s">
        <v>77</v>
      </c>
      <c r="S28" s="14" t="s">
        <v>78</v>
      </c>
      <c r="T28" s="15" t="s">
        <v>804</v>
      </c>
      <c r="U28" s="15" t="s">
        <v>805</v>
      </c>
      <c r="V28" s="15" t="s">
        <v>748</v>
      </c>
      <c r="W28" s="15" t="s">
        <v>806</v>
      </c>
      <c r="X28" s="15"/>
      <c r="Y28" s="14"/>
      <c r="Z28" s="16"/>
    </row>
    <row r="29" spans="1:26" ht="80" x14ac:dyDescent="0.2">
      <c r="A29" s="11" t="s">
        <v>124</v>
      </c>
      <c r="B29" s="12" t="str">
        <f>IF(A29="","",IFERROR(INDEX('Asset Register'!$B:$B,MATCH(A29,'Asset Register'!$A:$A,0)),""))</f>
        <v>A-E06</v>
      </c>
      <c r="C29" s="13" t="str">
        <f>IF(A29="","",IFERROR(INDEX('Asset Register'!$E:$E,MATCH(A29,'Asset Register'!$A:$A,0)),""))</f>
        <v>Language learning app</v>
      </c>
      <c r="D29" s="12" t="str">
        <f>IF(A29="","",IFERROR(INDEX('Asset Register'!$D:$D,MATCH(A29,'Asset Register'!$A:$A,0)),""))</f>
        <v>Education &amp; Learning</v>
      </c>
      <c r="E29" s="12" t="str">
        <f>IF(A29="","",IFERROR(INDEX('Asset Register'!$J:$J,MATCH(A29,'Asset Register'!$A:$A,0)),""))</f>
        <v>Low</v>
      </c>
      <c r="F29" s="11" t="s">
        <v>55</v>
      </c>
      <c r="G29" s="11" t="s">
        <v>55</v>
      </c>
      <c r="H29" s="11" t="s">
        <v>55</v>
      </c>
      <c r="I29" s="11" t="s">
        <v>29</v>
      </c>
      <c r="J29" s="11" t="s">
        <v>29</v>
      </c>
      <c r="K29" s="11" t="s">
        <v>29</v>
      </c>
      <c r="L29" s="11" t="s">
        <v>29</v>
      </c>
      <c r="M29" s="11" t="s">
        <v>29</v>
      </c>
      <c r="N29" s="12" t="str">
        <f t="shared" si="0"/>
        <v>Partial</v>
      </c>
      <c r="O29" s="12">
        <f t="shared" si="1"/>
        <v>3</v>
      </c>
      <c r="P29" s="12">
        <f t="shared" si="2"/>
        <v>0</v>
      </c>
      <c r="Q29" s="12">
        <f t="shared" si="3"/>
        <v>3</v>
      </c>
      <c r="R29" s="14" t="s">
        <v>77</v>
      </c>
      <c r="S29" s="14" t="s">
        <v>78</v>
      </c>
      <c r="T29" s="15" t="s">
        <v>810</v>
      </c>
      <c r="U29" s="15" t="s">
        <v>811</v>
      </c>
      <c r="V29" s="15" t="s">
        <v>812</v>
      </c>
      <c r="W29" s="15" t="s">
        <v>813</v>
      </c>
      <c r="X29" s="15"/>
      <c r="Y29" s="14"/>
      <c r="Z29" s="16"/>
    </row>
    <row r="30" spans="1:26" ht="80" x14ac:dyDescent="0.2">
      <c r="A30" s="11" t="s">
        <v>125</v>
      </c>
      <c r="B30" s="12" t="str">
        <f>IF(A30="","",IFERROR(INDEX('Asset Register'!$B:$B,MATCH(A30,'Asset Register'!$A:$A,0)),""))</f>
        <v>A-E07</v>
      </c>
      <c r="C30" s="13" t="str">
        <f>IF(A30="","",IFERROR(INDEX('Asset Register'!$E:$E,MATCH(A30,'Asset Register'!$A:$A,0)),""))</f>
        <v>ChatGPT</v>
      </c>
      <c r="D30" s="12" t="str">
        <f>IF(A30="","",IFERROR(INDEX('Asset Register'!$D:$D,MATCH(A30,'Asset Register'!$A:$A,0)),""))</f>
        <v>Education &amp; Learning</v>
      </c>
      <c r="E30" s="12" t="str">
        <f>IF(A30="","",IFERROR(INDEX('Asset Register'!$J:$J,MATCH(A30,'Asset Register'!$A:$A,0)),""))</f>
        <v>Medium</v>
      </c>
      <c r="F30" s="11" t="s">
        <v>55</v>
      </c>
      <c r="G30" s="11" t="s">
        <v>572</v>
      </c>
      <c r="H30" s="11" t="s">
        <v>55</v>
      </c>
      <c r="I30" s="11" t="s">
        <v>29</v>
      </c>
      <c r="J30" s="11" t="s">
        <v>29</v>
      </c>
      <c r="K30" s="11" t="s">
        <v>29</v>
      </c>
      <c r="L30" s="11" t="s">
        <v>29</v>
      </c>
      <c r="M30" s="11" t="s">
        <v>29</v>
      </c>
      <c r="N30" s="12" t="str">
        <f t="shared" si="0"/>
        <v>Partial</v>
      </c>
      <c r="O30" s="12">
        <f t="shared" si="1"/>
        <v>3</v>
      </c>
      <c r="P30" s="12">
        <f t="shared" si="2"/>
        <v>0</v>
      </c>
      <c r="Q30" s="12">
        <f t="shared" si="3"/>
        <v>2</v>
      </c>
      <c r="R30" s="14" t="s">
        <v>77</v>
      </c>
      <c r="S30" s="14" t="s">
        <v>78</v>
      </c>
      <c r="T30" s="15" t="s">
        <v>814</v>
      </c>
      <c r="U30" s="15" t="s">
        <v>815</v>
      </c>
      <c r="V30" s="15" t="s">
        <v>816</v>
      </c>
      <c r="W30" s="15" t="s">
        <v>817</v>
      </c>
      <c r="X30" s="15"/>
      <c r="Y30" s="14"/>
      <c r="Z30" s="16"/>
    </row>
    <row r="31" spans="1:26" ht="80" x14ac:dyDescent="0.2">
      <c r="A31" s="11" t="s">
        <v>126</v>
      </c>
      <c r="B31" s="12" t="str">
        <f>IF(A31="","",IFERROR(INDEX('Asset Register'!$B:$B,MATCH(A31,'Asset Register'!$A:$A,0)),""))</f>
        <v>A-E08</v>
      </c>
      <c r="C31" s="13" t="str">
        <f>IF(A31="","",IFERROR(INDEX('Asset Register'!$E:$E,MATCH(A31,'Asset Register'!$A:$A,0)),""))</f>
        <v>Claude</v>
      </c>
      <c r="D31" s="12" t="str">
        <f>IF(A31="","",IFERROR(INDEX('Asset Register'!$D:$D,MATCH(A31,'Asset Register'!$A:$A,0)),""))</f>
        <v>Education &amp; Learning</v>
      </c>
      <c r="E31" s="12" t="str">
        <f>IF(A31="","",IFERROR(INDEX('Asset Register'!$J:$J,MATCH(A31,'Asset Register'!$A:$A,0)),""))</f>
        <v>Medium</v>
      </c>
      <c r="F31" s="11" t="s">
        <v>55</v>
      </c>
      <c r="G31" s="11" t="s">
        <v>572</v>
      </c>
      <c r="H31" s="11" t="s">
        <v>572</v>
      </c>
      <c r="I31" s="11" t="s">
        <v>29</v>
      </c>
      <c r="J31" s="11" t="s">
        <v>29</v>
      </c>
      <c r="K31" s="11" t="s">
        <v>29</v>
      </c>
      <c r="L31" s="11" t="s">
        <v>29</v>
      </c>
      <c r="M31" s="11" t="s">
        <v>29</v>
      </c>
      <c r="N31" s="12" t="str">
        <f t="shared" si="0"/>
        <v>Partial</v>
      </c>
      <c r="O31" s="12">
        <f t="shared" si="1"/>
        <v>3</v>
      </c>
      <c r="P31" s="12">
        <f t="shared" si="2"/>
        <v>0</v>
      </c>
      <c r="Q31" s="12">
        <f t="shared" si="3"/>
        <v>1</v>
      </c>
      <c r="R31" s="14" t="s">
        <v>77</v>
      </c>
      <c r="S31" s="14" t="s">
        <v>78</v>
      </c>
      <c r="T31" s="15" t="s">
        <v>823</v>
      </c>
      <c r="U31" s="15" t="s">
        <v>824</v>
      </c>
      <c r="V31" s="15" t="s">
        <v>825</v>
      </c>
      <c r="W31" s="15" t="s">
        <v>826</v>
      </c>
      <c r="X31" s="15"/>
      <c r="Y31" s="14"/>
      <c r="Z31" s="16"/>
    </row>
    <row r="32" spans="1:26" ht="80" x14ac:dyDescent="0.2">
      <c r="A32" s="11" t="s">
        <v>131</v>
      </c>
      <c r="B32" s="12" t="str">
        <f>IF(A32="","",IFERROR(INDEX('Asset Register'!$B:$B,MATCH(A32,'Asset Register'!$A:$A,0)),""))</f>
        <v>A-J03</v>
      </c>
      <c r="C32" s="13" t="str">
        <f>IF(A32="","",IFERROR(INDEX('Asset Register'!$E:$E,MATCH(A32,'Asset Register'!$A:$A,0)),""))</f>
        <v>Internship platform A</v>
      </c>
      <c r="D32" s="12" t="str">
        <f>IF(A32="","",IFERROR(INDEX('Asset Register'!$D:$D,MATCH(A32,'Asset Register'!$A:$A,0)),""))</f>
        <v>Job Hunting &amp; Professional</v>
      </c>
      <c r="E32" s="12" t="str">
        <f>IF(A32="","",IFERROR(INDEX('Asset Register'!$J:$J,MATCH(A32,'Asset Register'!$A:$A,0)),""))</f>
        <v>High</v>
      </c>
      <c r="F32" s="11" t="s">
        <v>55</v>
      </c>
      <c r="G32" s="11" t="s">
        <v>55</v>
      </c>
      <c r="H32" s="11" t="s">
        <v>55</v>
      </c>
      <c r="I32" s="11" t="s">
        <v>29</v>
      </c>
      <c r="J32" s="11" t="s">
        <v>29</v>
      </c>
      <c r="K32" s="11" t="s">
        <v>29</v>
      </c>
      <c r="L32" s="11" t="s">
        <v>29</v>
      </c>
      <c r="M32" s="11" t="s">
        <v>29</v>
      </c>
      <c r="N32" s="12" t="str">
        <f t="shared" si="0"/>
        <v>Partial</v>
      </c>
      <c r="O32" s="12">
        <f t="shared" si="1"/>
        <v>3</v>
      </c>
      <c r="P32" s="12">
        <f t="shared" si="2"/>
        <v>0</v>
      </c>
      <c r="Q32" s="12">
        <f t="shared" si="3"/>
        <v>3</v>
      </c>
      <c r="R32" s="14" t="s">
        <v>77</v>
      </c>
      <c r="S32" s="14" t="s">
        <v>78</v>
      </c>
      <c r="T32" s="15" t="s">
        <v>827</v>
      </c>
      <c r="U32" s="15" t="s">
        <v>828</v>
      </c>
      <c r="V32" s="15" t="s">
        <v>785</v>
      </c>
      <c r="W32" s="15" t="s">
        <v>829</v>
      </c>
      <c r="X32" s="15"/>
      <c r="Y32" s="14"/>
      <c r="Z32" s="16"/>
    </row>
    <row r="33" spans="1:26" ht="80" x14ac:dyDescent="0.2">
      <c r="A33" s="11" t="s">
        <v>133</v>
      </c>
      <c r="B33" s="12" t="str">
        <f>IF(A33="","",IFERROR(INDEX('Asset Register'!$B:$B,MATCH(A33,'Asset Register'!$A:$A,0)),""))</f>
        <v>A-J05</v>
      </c>
      <c r="C33" s="13" t="str">
        <f>IF(A33="","",IFERROR(INDEX('Asset Register'!$E:$E,MATCH(A33,'Asset Register'!$A:$A,0)),""))</f>
        <v>LinkedIn</v>
      </c>
      <c r="D33" s="12" t="str">
        <f>IF(A33="","",IFERROR(INDEX('Asset Register'!$D:$D,MATCH(A33,'Asset Register'!$A:$A,0)),""))</f>
        <v>Job Hunting &amp; Professional</v>
      </c>
      <c r="E33" s="12" t="str">
        <f>IF(A33="","",IFERROR(INDEX('Asset Register'!$J:$J,MATCH(A33,'Asset Register'!$A:$A,0)),""))</f>
        <v>Critical</v>
      </c>
      <c r="F33" s="11" t="s">
        <v>572</v>
      </c>
      <c r="G33" s="11" t="s">
        <v>55</v>
      </c>
      <c r="H33" s="11" t="s">
        <v>572</v>
      </c>
      <c r="I33" s="11" t="s">
        <v>29</v>
      </c>
      <c r="J33" s="11" t="s">
        <v>29</v>
      </c>
      <c r="K33" s="11" t="s">
        <v>29</v>
      </c>
      <c r="L33" s="11" t="s">
        <v>29</v>
      </c>
      <c r="M33" s="11" t="s">
        <v>29</v>
      </c>
      <c r="N33" s="12" t="str">
        <f t="shared" ref="N33:N53" si="4">IF(COUNTA(F33:M33)=0,"",IF((COUNTIF(F33:M33,"Implemented")+COUNTIF(F33:M33,"Partial")+COUNTIF(F33:M33,"Not Implemented"))+COUNTIF(F33:M33,"??")=0,"N/A",IF((COUNTIF(F33:M33,"Implemented")+COUNTIF(F33:M33,"Partial")+COUNTIF(F33:M33,"Not Implemented"))=0,"??",IF(COUNTIF(F33:M33,"Implemented")=(COUNTIF(F33:M33,"Implemented")+COUNTIF(F33:M33,"Partial")+COUNTIF(F33:M33,"Not Implemented")),"Implemented",IF(COUNTIF(F33:M33,"Not Implemented")=(COUNTIF(F33:M33,"Implemented")+COUNTIF(F33:M33,"Partial")+COUNTIF(F33:M33,"Not Implemented")),"Not Implemented","Partial")))))</f>
        <v>Partial</v>
      </c>
      <c r="O33" s="12">
        <f t="shared" ref="O33:O53" si="5">IF(COUNTA(F33:M33)=0,"",(COUNTIF(F33:M33,"Implemented")+COUNTIF(F33:M33,"Partial")+COUNTIF(F33:M33,"Not Implemented")))</f>
        <v>3</v>
      </c>
      <c r="P33" s="12">
        <f t="shared" ref="P33:P53" si="6">IF(COUNTA(F33:M33)=0,"",COUNTIF(F33:M33,"??"))</f>
        <v>0</v>
      </c>
      <c r="Q33" s="12">
        <f t="shared" ref="Q33:Q53" si="7">IF(COUNTA(F33:M33)=0,"",COUNTIF(F33:M33,"Partial")+COUNTIF(F33:M33,"Not Implemented"))</f>
        <v>1</v>
      </c>
      <c r="R33" s="14" t="s">
        <v>134</v>
      </c>
      <c r="S33" s="14" t="s">
        <v>135</v>
      </c>
      <c r="T33" s="15" t="s">
        <v>832</v>
      </c>
      <c r="U33" s="15" t="s">
        <v>833</v>
      </c>
      <c r="V33" s="15" t="s">
        <v>834</v>
      </c>
      <c r="W33" s="15" t="s">
        <v>835</v>
      </c>
      <c r="X33" s="15" t="s">
        <v>47</v>
      </c>
      <c r="Y33" s="14" t="s">
        <v>136</v>
      </c>
      <c r="Z33" s="16"/>
    </row>
    <row r="34" spans="1:26" ht="96" x14ac:dyDescent="0.2">
      <c r="A34" s="11" t="s">
        <v>137</v>
      </c>
      <c r="B34" s="12" t="str">
        <f>IF(A34="","",IFERROR(INDEX('Asset Register'!$B:$B,MATCH(A34,'Asset Register'!$A:$A,0)),""))</f>
        <v>A-J06</v>
      </c>
      <c r="C34" s="13" t="str">
        <f>IF(A34="","",IFERROR(INDEX('Asset Register'!$E:$E,MATCH(A34,'Asset Register'!$A:$A,0)),""))</f>
        <v>GitHub</v>
      </c>
      <c r="D34" s="12" t="str">
        <f>IF(A34="","",IFERROR(INDEX('Asset Register'!$D:$D,MATCH(A34,'Asset Register'!$A:$A,0)),""))</f>
        <v>Job Hunting &amp; Professional</v>
      </c>
      <c r="E34" s="12" t="str">
        <f>IF(A34="","",IFERROR(INDEX('Asset Register'!$J:$J,MATCH(A34,'Asset Register'!$A:$A,0)),""))</f>
        <v>Critical</v>
      </c>
      <c r="F34" s="11" t="s">
        <v>55</v>
      </c>
      <c r="G34" s="11" t="s">
        <v>572</v>
      </c>
      <c r="H34" s="11" t="s">
        <v>572</v>
      </c>
      <c r="I34" s="11" t="s">
        <v>29</v>
      </c>
      <c r="J34" s="11" t="s">
        <v>29</v>
      </c>
      <c r="K34" s="11" t="s">
        <v>29</v>
      </c>
      <c r="L34" s="11" t="s">
        <v>29</v>
      </c>
      <c r="M34" s="11" t="s">
        <v>29</v>
      </c>
      <c r="N34" s="12" t="str">
        <f t="shared" si="4"/>
        <v>Partial</v>
      </c>
      <c r="O34" s="12">
        <f t="shared" si="5"/>
        <v>3</v>
      </c>
      <c r="P34" s="12">
        <f t="shared" si="6"/>
        <v>0</v>
      </c>
      <c r="Q34" s="12">
        <f t="shared" si="7"/>
        <v>1</v>
      </c>
      <c r="R34" s="14" t="s">
        <v>138</v>
      </c>
      <c r="S34" s="14" t="s">
        <v>139</v>
      </c>
      <c r="T34" s="15" t="s">
        <v>840</v>
      </c>
      <c r="U34" s="15" t="s">
        <v>841</v>
      </c>
      <c r="V34" s="15" t="s">
        <v>842</v>
      </c>
      <c r="W34" s="15" t="s">
        <v>843</v>
      </c>
      <c r="X34" s="15" t="s">
        <v>47</v>
      </c>
      <c r="Y34" s="14" t="s">
        <v>140</v>
      </c>
      <c r="Z34" s="16"/>
    </row>
    <row r="35" spans="1:26" ht="80" x14ac:dyDescent="0.2">
      <c r="A35" s="11" t="s">
        <v>141</v>
      </c>
      <c r="B35" s="12" t="str">
        <f>IF(A35="","",IFERROR(INDEX('Asset Register'!$B:$B,MATCH(A35,'Asset Register'!$A:$A,0)),""))</f>
        <v>A-J07</v>
      </c>
      <c r="C35" s="13" t="str">
        <f>IF(A35="","",IFERROR(INDEX('Asset Register'!$E:$E,MATCH(A35,'Asset Register'!$A:$A,0)),""))</f>
        <v>Zoom</v>
      </c>
      <c r="D35" s="12" t="str">
        <f>IF(A35="","",IFERROR(INDEX('Asset Register'!$D:$D,MATCH(A35,'Asset Register'!$A:$A,0)),""))</f>
        <v>Job Hunting &amp; Professional</v>
      </c>
      <c r="E35" s="12" t="str">
        <f>IF(A35="","",IFERROR(INDEX('Asset Register'!$J:$J,MATCH(A35,'Asset Register'!$A:$A,0)),""))</f>
        <v>Medium</v>
      </c>
      <c r="F35" s="11" t="s">
        <v>55</v>
      </c>
      <c r="G35" s="11" t="s">
        <v>572</v>
      </c>
      <c r="H35" s="11" t="s">
        <v>55</v>
      </c>
      <c r="I35" s="11" t="s">
        <v>29</v>
      </c>
      <c r="J35" s="11" t="s">
        <v>29</v>
      </c>
      <c r="K35" s="11" t="s">
        <v>29</v>
      </c>
      <c r="L35" s="11" t="s">
        <v>29</v>
      </c>
      <c r="M35" s="11" t="s">
        <v>29</v>
      </c>
      <c r="N35" s="12" t="str">
        <f t="shared" si="4"/>
        <v>Partial</v>
      </c>
      <c r="O35" s="12">
        <f t="shared" si="5"/>
        <v>3</v>
      </c>
      <c r="P35" s="12">
        <f t="shared" si="6"/>
        <v>0</v>
      </c>
      <c r="Q35" s="12">
        <f t="shared" si="7"/>
        <v>2</v>
      </c>
      <c r="R35" s="14" t="s">
        <v>77</v>
      </c>
      <c r="S35" s="14" t="s">
        <v>78</v>
      </c>
      <c r="T35" s="15" t="s">
        <v>848</v>
      </c>
      <c r="U35" s="15" t="s">
        <v>849</v>
      </c>
      <c r="V35" s="15" t="s">
        <v>850</v>
      </c>
      <c r="W35" s="15" t="s">
        <v>851</v>
      </c>
      <c r="X35" s="15"/>
      <c r="Y35" s="14"/>
      <c r="Z35" s="16"/>
    </row>
    <row r="36" spans="1:26" ht="80" x14ac:dyDescent="0.2">
      <c r="A36" s="11" t="s">
        <v>143</v>
      </c>
      <c r="B36" s="12" t="str">
        <f>IF(A36="","",IFERROR(INDEX('Asset Register'!$B:$B,MATCH(A36,'Asset Register'!$A:$A,0)),""))</f>
        <v>A-S02</v>
      </c>
      <c r="C36" s="13" t="str">
        <f>IF(A36="","",IFERROR(INDEX('Asset Register'!$E:$E,MATCH(A36,'Asset Register'!$A:$A,0)),""))</f>
        <v>Instagram</v>
      </c>
      <c r="D36" s="12" t="str">
        <f>IF(A36="","",IFERROR(INDEX('Asset Register'!$D:$D,MATCH(A36,'Asset Register'!$A:$A,0)),""))</f>
        <v>Social Media</v>
      </c>
      <c r="E36" s="12" t="str">
        <f>IF(A36="","",IFERROR(INDEX('Asset Register'!$J:$J,MATCH(A36,'Asset Register'!$A:$A,0)),""))</f>
        <v>Medium</v>
      </c>
      <c r="F36" s="11" t="s">
        <v>55</v>
      </c>
      <c r="G36" s="11" t="s">
        <v>55</v>
      </c>
      <c r="H36" s="11" t="s">
        <v>55</v>
      </c>
      <c r="I36" s="11" t="s">
        <v>29</v>
      </c>
      <c r="J36" s="11" t="s">
        <v>29</v>
      </c>
      <c r="K36" s="11" t="s">
        <v>29</v>
      </c>
      <c r="L36" s="11" t="s">
        <v>29</v>
      </c>
      <c r="M36" s="11" t="s">
        <v>29</v>
      </c>
      <c r="N36" s="12" t="str">
        <f t="shared" si="4"/>
        <v>Partial</v>
      </c>
      <c r="O36" s="12">
        <f t="shared" si="5"/>
        <v>3</v>
      </c>
      <c r="P36" s="12">
        <f t="shared" si="6"/>
        <v>0</v>
      </c>
      <c r="Q36" s="12">
        <f t="shared" si="7"/>
        <v>3</v>
      </c>
      <c r="R36" s="14" t="s">
        <v>77</v>
      </c>
      <c r="S36" s="14" t="s">
        <v>78</v>
      </c>
      <c r="T36" s="15" t="s">
        <v>855</v>
      </c>
      <c r="U36" s="15" t="s">
        <v>856</v>
      </c>
      <c r="V36" s="15" t="s">
        <v>857</v>
      </c>
      <c r="W36" s="15" t="s">
        <v>858</v>
      </c>
      <c r="X36" s="15"/>
      <c r="Y36" s="14"/>
      <c r="Z36" s="16"/>
    </row>
    <row r="37" spans="1:26" ht="96" x14ac:dyDescent="0.2">
      <c r="A37" s="11" t="s">
        <v>145</v>
      </c>
      <c r="B37" s="12" t="str">
        <f>IF(A37="","",IFERROR(INDEX('Asset Register'!$B:$B,MATCH(A37,'Asset Register'!$A:$A,0)),""))</f>
        <v>A-S04</v>
      </c>
      <c r="C37" s="13" t="str">
        <f>IF(A37="","",IFERROR(INDEX('Asset Register'!$E:$E,MATCH(A37,'Asset Register'!$A:$A,0)),""))</f>
        <v>LINE</v>
      </c>
      <c r="D37" s="12" t="str">
        <f>IF(A37="","",IFERROR(INDEX('Asset Register'!$D:$D,MATCH(A37,'Asset Register'!$A:$A,0)),""))</f>
        <v>Social Media</v>
      </c>
      <c r="E37" s="12" t="str">
        <f>IF(A37="","",IFERROR(INDEX('Asset Register'!$J:$J,MATCH(A37,'Asset Register'!$A:$A,0)),""))</f>
        <v>High</v>
      </c>
      <c r="F37" s="11" t="s">
        <v>55</v>
      </c>
      <c r="G37" s="11" t="s">
        <v>55</v>
      </c>
      <c r="H37" s="11" t="s">
        <v>55</v>
      </c>
      <c r="I37" s="11" t="s">
        <v>29</v>
      </c>
      <c r="J37" s="11" t="s">
        <v>29</v>
      </c>
      <c r="K37" s="11" t="s">
        <v>29</v>
      </c>
      <c r="L37" s="11" t="s">
        <v>29</v>
      </c>
      <c r="M37" s="11" t="s">
        <v>29</v>
      </c>
      <c r="N37" s="12" t="str">
        <f t="shared" si="4"/>
        <v>Partial</v>
      </c>
      <c r="O37" s="12">
        <f t="shared" si="5"/>
        <v>3</v>
      </c>
      <c r="P37" s="12">
        <f t="shared" si="6"/>
        <v>0</v>
      </c>
      <c r="Q37" s="12">
        <f t="shared" si="7"/>
        <v>3</v>
      </c>
      <c r="R37" s="14" t="s">
        <v>146</v>
      </c>
      <c r="S37" s="14" t="s">
        <v>78</v>
      </c>
      <c r="T37" s="15" t="s">
        <v>866</v>
      </c>
      <c r="U37" s="15" t="s">
        <v>867</v>
      </c>
      <c r="V37" s="15" t="s">
        <v>868</v>
      </c>
      <c r="W37" s="15" t="s">
        <v>869</v>
      </c>
      <c r="X37" s="15"/>
      <c r="Y37" s="14" t="s">
        <v>147</v>
      </c>
      <c r="Z37" s="16"/>
    </row>
    <row r="38" spans="1:26" ht="64" x14ac:dyDescent="0.2">
      <c r="A38" s="11" t="s">
        <v>149</v>
      </c>
      <c r="B38" s="12" t="str">
        <f>IF(A38="","",IFERROR(INDEX('Asset Register'!$B:$B,MATCH(A38,'Asset Register'!$A:$A,0)),""))</f>
        <v>A-S06</v>
      </c>
      <c r="C38" s="13" t="str">
        <f>IF(A38="","",IFERROR(INDEX('Asset Register'!$E:$E,MATCH(A38,'Asset Register'!$A:$A,0)),""))</f>
        <v>YouTube</v>
      </c>
      <c r="D38" s="12" t="str">
        <f>IF(A38="","",IFERROR(INDEX('Asset Register'!$D:$D,MATCH(A38,'Asset Register'!$A:$A,0)),""))</f>
        <v>Social Media</v>
      </c>
      <c r="E38" s="12" t="str">
        <f>IF(A38="","",IFERROR(INDEX('Asset Register'!$J:$J,MATCH(A38,'Asset Register'!$A:$A,0)),""))</f>
        <v>Low</v>
      </c>
      <c r="F38" s="11" t="s">
        <v>29</v>
      </c>
      <c r="G38" s="11" t="s">
        <v>29</v>
      </c>
      <c r="H38" s="11" t="s">
        <v>572</v>
      </c>
      <c r="I38" s="11" t="s">
        <v>29</v>
      </c>
      <c r="J38" s="11" t="s">
        <v>29</v>
      </c>
      <c r="K38" s="11" t="s">
        <v>29</v>
      </c>
      <c r="L38" s="11" t="s">
        <v>29</v>
      </c>
      <c r="M38" s="11" t="s">
        <v>29</v>
      </c>
      <c r="N38" s="12" t="str">
        <f t="shared" si="4"/>
        <v>Implemented</v>
      </c>
      <c r="O38" s="12">
        <f t="shared" si="5"/>
        <v>1</v>
      </c>
      <c r="P38" s="12">
        <f t="shared" si="6"/>
        <v>0</v>
      </c>
      <c r="Q38" s="12">
        <f t="shared" si="7"/>
        <v>0</v>
      </c>
      <c r="R38" s="14" t="s">
        <v>150</v>
      </c>
      <c r="S38" s="14" t="s">
        <v>151</v>
      </c>
      <c r="T38" s="15" t="s">
        <v>870</v>
      </c>
      <c r="U38" s="15" t="s">
        <v>871</v>
      </c>
      <c r="V38" s="15" t="s">
        <v>872</v>
      </c>
      <c r="W38" s="15" t="s">
        <v>873</v>
      </c>
      <c r="X38" s="15"/>
      <c r="Y38" s="14"/>
      <c r="Z38" s="16"/>
    </row>
    <row r="39" spans="1:26" ht="96" x14ac:dyDescent="0.2">
      <c r="A39" s="11" t="s">
        <v>152</v>
      </c>
      <c r="B39" s="12" t="str">
        <f>IF(A39="","",IFERROR(INDEX('Asset Register'!$B:$B,MATCH(A39,'Asset Register'!$A:$A,0)),""))</f>
        <v>A-U01</v>
      </c>
      <c r="C39" s="13" t="str">
        <f>IF(A39="","",IFERROR(INDEX('Asset Register'!$E:$E,MATCH(A39,'Asset Register'!$A:$A,0)),""))</f>
        <v>Mobile carrier account</v>
      </c>
      <c r="D39" s="12" t="str">
        <f>IF(A39="","",IFERROR(INDEX('Asset Register'!$D:$D,MATCH(A39,'Asset Register'!$A:$A,0)),""))</f>
        <v>Utilities &amp; Life Services</v>
      </c>
      <c r="E39" s="12" t="str">
        <f>IF(A39="","",IFERROR(INDEX('Asset Register'!$J:$J,MATCH(A39,'Asset Register'!$A:$A,0)),""))</f>
        <v>Critical</v>
      </c>
      <c r="F39" s="11" t="s">
        <v>55</v>
      </c>
      <c r="G39" s="11" t="s">
        <v>55</v>
      </c>
      <c r="H39" s="11" t="s">
        <v>55</v>
      </c>
      <c r="I39" s="11" t="s">
        <v>29</v>
      </c>
      <c r="J39" s="11" t="s">
        <v>29</v>
      </c>
      <c r="K39" s="11" t="s">
        <v>29</v>
      </c>
      <c r="L39" s="11" t="s">
        <v>29</v>
      </c>
      <c r="M39" s="11" t="s">
        <v>29</v>
      </c>
      <c r="N39" s="12" t="str">
        <f t="shared" si="4"/>
        <v>Partial</v>
      </c>
      <c r="O39" s="12">
        <f t="shared" si="5"/>
        <v>3</v>
      </c>
      <c r="P39" s="12">
        <f t="shared" si="6"/>
        <v>0</v>
      </c>
      <c r="Q39" s="12">
        <f t="shared" si="7"/>
        <v>3</v>
      </c>
      <c r="R39" s="14" t="s">
        <v>153</v>
      </c>
      <c r="S39" s="14" t="s">
        <v>154</v>
      </c>
      <c r="T39" s="15" t="s">
        <v>878</v>
      </c>
      <c r="U39" s="15" t="s">
        <v>879</v>
      </c>
      <c r="V39" s="15" t="s">
        <v>880</v>
      </c>
      <c r="W39" s="15" t="s">
        <v>881</v>
      </c>
      <c r="X39" s="15" t="s">
        <v>47</v>
      </c>
      <c r="Y39" s="14" t="s">
        <v>155</v>
      </c>
      <c r="Z39" s="16"/>
    </row>
    <row r="40" spans="1:26" ht="80" x14ac:dyDescent="0.2">
      <c r="A40" s="11" t="s">
        <v>157</v>
      </c>
      <c r="B40" s="12" t="str">
        <f>IF(A40="","",IFERROR(INDEX('Asset Register'!$B:$B,MATCH(A40,'Asset Register'!$A:$A,0)),""))</f>
        <v>A-X01</v>
      </c>
      <c r="C40" s="13" t="str">
        <f>IF(A40="","",IFERROR(INDEX('Asset Register'!$E:$E,MATCH(A40,'Asset Register'!$A:$A,0)),""))</f>
        <v>Amazon</v>
      </c>
      <c r="D40" s="12" t="str">
        <f>IF(A40="","",IFERROR(INDEX('Asset Register'!$D:$D,MATCH(A40,'Asset Register'!$A:$A,0)),""))</f>
        <v>Entertainment &amp; Shopping</v>
      </c>
      <c r="E40" s="12" t="str">
        <f>IF(A40="","",IFERROR(INDEX('Asset Register'!$J:$J,MATCH(A40,'Asset Register'!$A:$A,0)),""))</f>
        <v>Medium</v>
      </c>
      <c r="F40" s="11" t="s">
        <v>55</v>
      </c>
      <c r="G40" s="11" t="s">
        <v>572</v>
      </c>
      <c r="H40" s="11" t="s">
        <v>55</v>
      </c>
      <c r="I40" s="11" t="s">
        <v>29</v>
      </c>
      <c r="J40" s="11" t="s">
        <v>29</v>
      </c>
      <c r="K40" s="11" t="s">
        <v>29</v>
      </c>
      <c r="L40" s="11" t="s">
        <v>29</v>
      </c>
      <c r="M40" s="11" t="s">
        <v>29</v>
      </c>
      <c r="N40" s="12" t="str">
        <f t="shared" si="4"/>
        <v>Partial</v>
      </c>
      <c r="O40" s="12">
        <f t="shared" si="5"/>
        <v>3</v>
      </c>
      <c r="P40" s="12">
        <f t="shared" si="6"/>
        <v>0</v>
      </c>
      <c r="Q40" s="12">
        <f t="shared" si="7"/>
        <v>2</v>
      </c>
      <c r="R40" s="14" t="s">
        <v>77</v>
      </c>
      <c r="S40" s="14" t="s">
        <v>78</v>
      </c>
      <c r="T40" s="15" t="s">
        <v>886</v>
      </c>
      <c r="U40" s="15" t="s">
        <v>887</v>
      </c>
      <c r="V40" s="15" t="s">
        <v>888</v>
      </c>
      <c r="W40" s="15" t="s">
        <v>889</v>
      </c>
      <c r="X40" s="15"/>
      <c r="Y40" s="14"/>
      <c r="Z40" s="16"/>
    </row>
    <row r="41" spans="1:26" ht="80" x14ac:dyDescent="0.2">
      <c r="A41" s="11" t="s">
        <v>158</v>
      </c>
      <c r="B41" s="12" t="str">
        <f>IF(A41="","",IFERROR(INDEX('Asset Register'!$B:$B,MATCH(A41,'Asset Register'!$A:$A,0)),""))</f>
        <v>D-L01</v>
      </c>
      <c r="C41" s="13" t="str">
        <f>IF(A41="","",IFERROR(INDEX('Asset Register'!$E:$E,MATCH(A41,'Asset Register'!$A:$A,0)),""))</f>
        <v>Job-hunting materials</v>
      </c>
      <c r="D41" s="12" t="str">
        <f>IF(A41="","",IFERROR(INDEX('Asset Register'!$D:$D,MATCH(A41,'Asset Register'!$A:$A,0)),""))</f>
        <v>Local (MacBook)</v>
      </c>
      <c r="E41" s="12" t="str">
        <f>IF(A41="","",IFERROR(INDEX('Asset Register'!$J:$J,MATCH(A41,'Asset Register'!$A:$A,0)),""))</f>
        <v>Critical</v>
      </c>
      <c r="F41" s="11" t="s">
        <v>29</v>
      </c>
      <c r="G41" s="11" t="s">
        <v>29</v>
      </c>
      <c r="H41" s="11" t="s">
        <v>29</v>
      </c>
      <c r="I41" s="11" t="s">
        <v>55</v>
      </c>
      <c r="J41" s="11" t="s">
        <v>572</v>
      </c>
      <c r="K41" s="11" t="s">
        <v>573</v>
      </c>
      <c r="L41" s="11" t="s">
        <v>29</v>
      </c>
      <c r="M41" s="11" t="s">
        <v>29</v>
      </c>
      <c r="N41" s="12" t="str">
        <f t="shared" si="4"/>
        <v>Partial</v>
      </c>
      <c r="O41" s="12">
        <f t="shared" si="5"/>
        <v>3</v>
      </c>
      <c r="P41" s="12">
        <f t="shared" si="6"/>
        <v>0</v>
      </c>
      <c r="Q41" s="12">
        <f t="shared" si="7"/>
        <v>2</v>
      </c>
      <c r="R41" s="14" t="s">
        <v>159</v>
      </c>
      <c r="S41" s="14" t="s">
        <v>160</v>
      </c>
      <c r="T41" s="15" t="s">
        <v>892</v>
      </c>
      <c r="U41" s="15" t="s">
        <v>893</v>
      </c>
      <c r="V41" s="15" t="s">
        <v>894</v>
      </c>
      <c r="W41" s="15" t="s">
        <v>895</v>
      </c>
      <c r="X41" s="15"/>
      <c r="Y41" s="14" t="s">
        <v>161</v>
      </c>
      <c r="Z41" s="16"/>
    </row>
    <row r="42" spans="1:26" ht="80" x14ac:dyDescent="0.2">
      <c r="A42" s="11" t="s">
        <v>165</v>
      </c>
      <c r="B42" s="12" t="str">
        <f>IF(A42="","",IFERROR(INDEX('Asset Register'!$B:$B,MATCH(A42,'Asset Register'!$A:$A,0)),""))</f>
        <v>D-L03</v>
      </c>
      <c r="C42" s="13" t="str">
        <f>IF(A42="","",IFERROR(INDEX('Asset Register'!$E:$E,MATCH(A42,'Asset Register'!$A:$A,0)),""))</f>
        <v>Academic files</v>
      </c>
      <c r="D42" s="12" t="str">
        <f>IF(A42="","",IFERROR(INDEX('Asset Register'!$D:$D,MATCH(A42,'Asset Register'!$A:$A,0)),""))</f>
        <v>Local (MacBook)</v>
      </c>
      <c r="E42" s="12" t="str">
        <f>IF(A42="","",IFERROR(INDEX('Asset Register'!$J:$J,MATCH(A42,'Asset Register'!$A:$A,0)),""))</f>
        <v>High</v>
      </c>
      <c r="F42" s="11" t="s">
        <v>29</v>
      </c>
      <c r="G42" s="11" t="s">
        <v>29</v>
      </c>
      <c r="H42" s="11" t="s">
        <v>29</v>
      </c>
      <c r="I42" s="11" t="s">
        <v>572</v>
      </c>
      <c r="J42" s="11" t="s">
        <v>572</v>
      </c>
      <c r="K42" s="11" t="s">
        <v>572</v>
      </c>
      <c r="L42" s="11" t="s">
        <v>29</v>
      </c>
      <c r="M42" s="11" t="s">
        <v>29</v>
      </c>
      <c r="N42" s="12" t="str">
        <f t="shared" si="4"/>
        <v>Implemented</v>
      </c>
      <c r="O42" s="12">
        <f t="shared" si="5"/>
        <v>3</v>
      </c>
      <c r="P42" s="12">
        <f t="shared" si="6"/>
        <v>0</v>
      </c>
      <c r="Q42" s="12">
        <f t="shared" si="7"/>
        <v>0</v>
      </c>
      <c r="R42" s="14" t="s">
        <v>163</v>
      </c>
      <c r="S42" s="14" t="s">
        <v>164</v>
      </c>
      <c r="T42" s="15" t="s">
        <v>900</v>
      </c>
      <c r="U42" s="15" t="s">
        <v>901</v>
      </c>
      <c r="V42" s="15" t="s">
        <v>902</v>
      </c>
      <c r="W42" s="15" t="s">
        <v>903</v>
      </c>
      <c r="X42" s="15"/>
      <c r="Y42" s="14"/>
      <c r="Z42" s="16"/>
    </row>
    <row r="43" spans="1:26" ht="80" x14ac:dyDescent="0.2">
      <c r="A43" s="11" t="s">
        <v>167</v>
      </c>
      <c r="B43" s="12" t="str">
        <f>IF(A43="","",IFERROR(INDEX('Asset Register'!$B:$B,MATCH(A43,'Asset Register'!$A:$A,0)),""))</f>
        <v>D-L05</v>
      </c>
      <c r="C43" s="13" t="str">
        <f>IF(A43="","",IFERROR(INDEX('Asset Register'!$E:$E,MATCH(A43,'Asset Register'!$A:$A,0)),""))</f>
        <v>Financial documents</v>
      </c>
      <c r="D43" s="12" t="str">
        <f>IF(A43="","",IFERROR(INDEX('Asset Register'!$D:$D,MATCH(A43,'Asset Register'!$A:$A,0)),""))</f>
        <v>Local (MacBook)</v>
      </c>
      <c r="E43" s="12" t="str">
        <f>IF(A43="","",IFERROR(INDEX('Asset Register'!$J:$J,MATCH(A43,'Asset Register'!$A:$A,0)),""))</f>
        <v>High</v>
      </c>
      <c r="F43" s="11" t="s">
        <v>29</v>
      </c>
      <c r="G43" s="11" t="s">
        <v>29</v>
      </c>
      <c r="H43" s="11" t="s">
        <v>29</v>
      </c>
      <c r="I43" s="11" t="s">
        <v>55</v>
      </c>
      <c r="J43" s="11" t="s">
        <v>572</v>
      </c>
      <c r="K43" s="11" t="s">
        <v>573</v>
      </c>
      <c r="L43" s="11" t="s">
        <v>29</v>
      </c>
      <c r="M43" s="11" t="s">
        <v>29</v>
      </c>
      <c r="N43" s="12" t="str">
        <f t="shared" si="4"/>
        <v>Partial</v>
      </c>
      <c r="O43" s="12">
        <f t="shared" si="5"/>
        <v>3</v>
      </c>
      <c r="P43" s="12">
        <f t="shared" si="6"/>
        <v>0</v>
      </c>
      <c r="Q43" s="12">
        <f t="shared" si="7"/>
        <v>2</v>
      </c>
      <c r="R43" s="14" t="s">
        <v>168</v>
      </c>
      <c r="S43" s="14" t="s">
        <v>169</v>
      </c>
      <c r="T43" s="15" t="s">
        <v>908</v>
      </c>
      <c r="U43" s="15" t="s">
        <v>909</v>
      </c>
      <c r="V43" s="15" t="s">
        <v>910</v>
      </c>
      <c r="W43" s="15" t="s">
        <v>911</v>
      </c>
      <c r="X43" s="15"/>
      <c r="Y43" s="14" t="s">
        <v>170</v>
      </c>
      <c r="Z43" s="16"/>
    </row>
    <row r="44" spans="1:26" ht="64" x14ac:dyDescent="0.2">
      <c r="A44" s="11" t="s">
        <v>172</v>
      </c>
      <c r="B44" s="12" t="str">
        <f>IF(A44="","",IFERROR(INDEX('Asset Register'!$B:$B,MATCH(A44,'Asset Register'!$A:$A,0)),""))</f>
        <v>D-C01</v>
      </c>
      <c r="C44" s="13" t="str">
        <f>IF(A44="","",IFERROR(INDEX('Asset Register'!$E:$E,MATCH(A44,'Asset Register'!$A:$A,0)),""))</f>
        <v>iCloud Photos</v>
      </c>
      <c r="D44" s="12" t="str">
        <f>IF(A44="","",IFERROR(INDEX('Asset Register'!$D:$D,MATCH(A44,'Asset Register'!$A:$A,0)),""))</f>
        <v>Cloud Storage</v>
      </c>
      <c r="E44" s="12" t="str">
        <f>IF(A44="","",IFERROR(INDEX('Asset Register'!$J:$J,MATCH(A44,'Asset Register'!$A:$A,0)),""))</f>
        <v>High</v>
      </c>
      <c r="F44" s="11" t="s">
        <v>29</v>
      </c>
      <c r="G44" s="11" t="s">
        <v>29</v>
      </c>
      <c r="H44" s="11" t="s">
        <v>572</v>
      </c>
      <c r="I44" s="11" t="s">
        <v>572</v>
      </c>
      <c r="J44" s="11" t="s">
        <v>29</v>
      </c>
      <c r="K44" s="11" t="s">
        <v>572</v>
      </c>
      <c r="L44" s="11" t="s">
        <v>29</v>
      </c>
      <c r="M44" s="11" t="s">
        <v>29</v>
      </c>
      <c r="N44" s="12" t="str">
        <f t="shared" si="4"/>
        <v>Implemented</v>
      </c>
      <c r="O44" s="12">
        <f t="shared" si="5"/>
        <v>3</v>
      </c>
      <c r="P44" s="12">
        <f t="shared" si="6"/>
        <v>0</v>
      </c>
      <c r="Q44" s="12">
        <f t="shared" si="7"/>
        <v>0</v>
      </c>
      <c r="R44" s="14" t="s">
        <v>173</v>
      </c>
      <c r="S44" s="14" t="s">
        <v>174</v>
      </c>
      <c r="T44" s="15" t="s">
        <v>919</v>
      </c>
      <c r="U44" s="15" t="s">
        <v>920</v>
      </c>
      <c r="V44" s="15" t="s">
        <v>921</v>
      </c>
      <c r="W44" s="15" t="s">
        <v>922</v>
      </c>
      <c r="X44" s="15"/>
      <c r="Y44" s="14" t="s">
        <v>175</v>
      </c>
      <c r="Z44" s="16"/>
    </row>
    <row r="45" spans="1:26" ht="80" x14ac:dyDescent="0.2">
      <c r="A45" s="11" t="s">
        <v>176</v>
      </c>
      <c r="B45" s="12" t="str">
        <f>IF(A45="","",IFERROR(INDEX('Asset Register'!$B:$B,MATCH(A45,'Asset Register'!$A:$A,0)),""))</f>
        <v>D-C02</v>
      </c>
      <c r="C45" s="13" t="str">
        <f>IF(A45="","",IFERROR(INDEX('Asset Register'!$E:$E,MATCH(A45,'Asset Register'!$A:$A,0)),""))</f>
        <v>iCloud Drive files</v>
      </c>
      <c r="D45" s="12" t="str">
        <f>IF(A45="","",IFERROR(INDEX('Asset Register'!$D:$D,MATCH(A45,'Asset Register'!$A:$A,0)),""))</f>
        <v>Cloud Storage</v>
      </c>
      <c r="E45" s="12" t="str">
        <f>IF(A45="","",IFERROR(INDEX('Asset Register'!$J:$J,MATCH(A45,'Asset Register'!$A:$A,0)),""))</f>
        <v>Medium</v>
      </c>
      <c r="F45" s="11" t="s">
        <v>29</v>
      </c>
      <c r="G45" s="11" t="s">
        <v>29</v>
      </c>
      <c r="H45" s="11" t="s">
        <v>572</v>
      </c>
      <c r="I45" s="11" t="s">
        <v>572</v>
      </c>
      <c r="J45" s="11" t="s">
        <v>29</v>
      </c>
      <c r="K45" s="11" t="s">
        <v>573</v>
      </c>
      <c r="L45" s="11" t="s">
        <v>29</v>
      </c>
      <c r="M45" s="11" t="s">
        <v>29</v>
      </c>
      <c r="N45" s="12" t="str">
        <f t="shared" si="4"/>
        <v>Partial</v>
      </c>
      <c r="O45" s="12">
        <f t="shared" si="5"/>
        <v>3</v>
      </c>
      <c r="P45" s="12">
        <f t="shared" si="6"/>
        <v>0</v>
      </c>
      <c r="Q45" s="12">
        <f t="shared" si="7"/>
        <v>1</v>
      </c>
      <c r="R45" s="14" t="s">
        <v>177</v>
      </c>
      <c r="S45" s="14" t="s">
        <v>178</v>
      </c>
      <c r="T45" s="15" t="s">
        <v>924</v>
      </c>
      <c r="U45" s="15" t="s">
        <v>925</v>
      </c>
      <c r="V45" s="15" t="s">
        <v>926</v>
      </c>
      <c r="W45" s="15" t="s">
        <v>927</v>
      </c>
      <c r="X45" s="15"/>
      <c r="Y45" s="14"/>
      <c r="Z45" s="16"/>
    </row>
    <row r="46" spans="1:26" ht="80" x14ac:dyDescent="0.2">
      <c r="A46" s="11" t="s">
        <v>180</v>
      </c>
      <c r="B46" s="12" t="str">
        <f>IF(A46="","",IFERROR(INDEX('Asset Register'!$B:$B,MATCH(A46,'Asset Register'!$A:$A,0)),""))</f>
        <v>D-C04</v>
      </c>
      <c r="C46" s="13" t="str">
        <f>IF(A46="","",IFERROR(INDEX('Asset Register'!$E:$E,MATCH(A46,'Asset Register'!$A:$A,0)),""))</f>
        <v>Video files</v>
      </c>
      <c r="D46" s="12" t="str">
        <f>IF(A46="","",IFERROR(INDEX('Asset Register'!$D:$D,MATCH(A46,'Asset Register'!$A:$A,0)),""))</f>
        <v>Cloud Storage</v>
      </c>
      <c r="E46" s="12" t="str">
        <f>IF(A46="","",IFERROR(INDEX('Asset Register'!$J:$J,MATCH(A46,'Asset Register'!$A:$A,0)),""))</f>
        <v>Low</v>
      </c>
      <c r="F46" s="11" t="s">
        <v>29</v>
      </c>
      <c r="G46" s="11" t="s">
        <v>29</v>
      </c>
      <c r="H46" s="11" t="s">
        <v>572</v>
      </c>
      <c r="I46" s="11" t="s">
        <v>572</v>
      </c>
      <c r="J46" s="11" t="s">
        <v>29</v>
      </c>
      <c r="K46" s="11" t="s">
        <v>573</v>
      </c>
      <c r="L46" s="11" t="s">
        <v>29</v>
      </c>
      <c r="M46" s="11" t="s">
        <v>29</v>
      </c>
      <c r="N46" s="12" t="str">
        <f t="shared" si="4"/>
        <v>Partial</v>
      </c>
      <c r="O46" s="12">
        <f t="shared" si="5"/>
        <v>3</v>
      </c>
      <c r="P46" s="12">
        <f t="shared" si="6"/>
        <v>0</v>
      </c>
      <c r="Q46" s="12">
        <f t="shared" si="7"/>
        <v>1</v>
      </c>
      <c r="R46" s="14" t="s">
        <v>177</v>
      </c>
      <c r="S46" s="14" t="s">
        <v>178</v>
      </c>
      <c r="T46" s="15" t="s">
        <v>932</v>
      </c>
      <c r="U46" s="15" t="s">
        <v>933</v>
      </c>
      <c r="V46" s="15" t="s">
        <v>934</v>
      </c>
      <c r="W46" s="15" t="s">
        <v>935</v>
      </c>
      <c r="X46" s="15"/>
      <c r="Y46" s="14"/>
      <c r="Z46" s="16"/>
    </row>
    <row r="47" spans="1:26" ht="48" x14ac:dyDescent="0.2">
      <c r="A47" s="11" t="s">
        <v>181</v>
      </c>
      <c r="B47" s="12" t="str">
        <f>IF(A47="","",IFERROR(INDEX('Asset Register'!$B:$B,MATCH(A47,'Asset Register'!$A:$A,0)),""))</f>
        <v>D-K01</v>
      </c>
      <c r="C47" s="13" t="str">
        <f>IF(A47="","",IFERROR(INDEX('Asset Register'!$E:$E,MATCH(A47,'Asset Register'!$A:$A,0)),""))</f>
        <v>Obsidian career vault</v>
      </c>
      <c r="D47" s="12" t="str">
        <f>IF(A47="","",IFERROR(INDEX('Asset Register'!$D:$D,MATCH(A47,'Asset Register'!$A:$A,0)),""))</f>
        <v>Knowledge Base</v>
      </c>
      <c r="E47" s="12" t="str">
        <f>IF(A47="","",IFERROR(INDEX('Asset Register'!$J:$J,MATCH(A47,'Asset Register'!$A:$A,0)),""))</f>
        <v>Critical</v>
      </c>
      <c r="F47" s="11" t="s">
        <v>29</v>
      </c>
      <c r="G47" s="11" t="s">
        <v>29</v>
      </c>
      <c r="H47" s="11" t="s">
        <v>29</v>
      </c>
      <c r="I47" s="11" t="s">
        <v>55</v>
      </c>
      <c r="J47" s="11" t="s">
        <v>29</v>
      </c>
      <c r="K47" s="11" t="s">
        <v>573</v>
      </c>
      <c r="L47" s="11" t="s">
        <v>29</v>
      </c>
      <c r="M47" s="11" t="s">
        <v>29</v>
      </c>
      <c r="N47" s="12" t="str">
        <f t="shared" si="4"/>
        <v>Partial</v>
      </c>
      <c r="O47" s="12">
        <f t="shared" si="5"/>
        <v>2</v>
      </c>
      <c r="P47" s="12">
        <f t="shared" si="6"/>
        <v>0</v>
      </c>
      <c r="Q47" s="12">
        <f t="shared" si="7"/>
        <v>2</v>
      </c>
      <c r="R47" s="14" t="s">
        <v>182</v>
      </c>
      <c r="S47" s="14" t="s">
        <v>183</v>
      </c>
      <c r="T47" s="15" t="s">
        <v>940</v>
      </c>
      <c r="U47" s="15" t="s">
        <v>941</v>
      </c>
      <c r="V47" s="15" t="s">
        <v>942</v>
      </c>
      <c r="W47" s="15" t="s">
        <v>943</v>
      </c>
      <c r="X47" s="15" t="s">
        <v>184</v>
      </c>
      <c r="Y47" s="14" t="s">
        <v>185</v>
      </c>
      <c r="Z47" s="16"/>
    </row>
    <row r="48" spans="1:26" ht="64" x14ac:dyDescent="0.2">
      <c r="A48" s="11" t="s">
        <v>187</v>
      </c>
      <c r="B48" s="12" t="str">
        <f>IF(A48="","",IFERROR(INDEX('Asset Register'!$B:$B,MATCH(A48,'Asset Register'!$A:$A,0)),""))</f>
        <v>D-P01</v>
      </c>
      <c r="C48" s="13" t="str">
        <f>IF(A48="","",IFERROR(INDEX('Asset Register'!$E:$E,MATCH(A48,'Asset Register'!$A:$A,0)),""))</f>
        <v>Passport</v>
      </c>
      <c r="D48" s="12" t="str">
        <f>IF(A48="","",IFERROR(INDEX('Asset Register'!$D:$D,MATCH(A48,'Asset Register'!$A:$A,0)),""))</f>
        <v>Physical</v>
      </c>
      <c r="E48" s="12" t="str">
        <f>IF(A48="","",IFERROR(INDEX('Asset Register'!$J:$J,MATCH(A48,'Asset Register'!$A:$A,0)),""))</f>
        <v>Critical</v>
      </c>
      <c r="F48" s="11" t="s">
        <v>29</v>
      </c>
      <c r="G48" s="11" t="s">
        <v>29</v>
      </c>
      <c r="H48" s="11" t="s">
        <v>29</v>
      </c>
      <c r="I48" s="11" t="s">
        <v>55</v>
      </c>
      <c r="J48" s="11" t="s">
        <v>29</v>
      </c>
      <c r="K48" s="11" t="s">
        <v>572</v>
      </c>
      <c r="L48" s="11" t="s">
        <v>29</v>
      </c>
      <c r="M48" s="11" t="s">
        <v>29</v>
      </c>
      <c r="N48" s="12" t="str">
        <f t="shared" si="4"/>
        <v>Partial</v>
      </c>
      <c r="O48" s="12">
        <f t="shared" si="5"/>
        <v>2</v>
      </c>
      <c r="P48" s="12">
        <f t="shared" si="6"/>
        <v>0</v>
      </c>
      <c r="Q48" s="12">
        <f t="shared" si="7"/>
        <v>1</v>
      </c>
      <c r="R48" s="14" t="s">
        <v>188</v>
      </c>
      <c r="S48" s="14" t="s">
        <v>189</v>
      </c>
      <c r="T48" s="15" t="s">
        <v>948</v>
      </c>
      <c r="U48" s="15" t="s">
        <v>949</v>
      </c>
      <c r="V48" s="15" t="s">
        <v>950</v>
      </c>
      <c r="W48" s="15" t="s">
        <v>951</v>
      </c>
      <c r="X48" s="15"/>
      <c r="Y48" s="14" t="s">
        <v>190</v>
      </c>
      <c r="Z48" s="16"/>
    </row>
    <row r="49" spans="1:26" ht="80" x14ac:dyDescent="0.2">
      <c r="A49" s="11" t="s">
        <v>191</v>
      </c>
      <c r="B49" s="12" t="str">
        <f>IF(A49="","",IFERROR(INDEX('Asset Register'!$B:$B,MATCH(A49,'Asset Register'!$A:$A,0)),""))</f>
        <v>D-P02</v>
      </c>
      <c r="C49" s="13" t="str">
        <f>IF(A49="","",IFERROR(INDEX('Asset Register'!$E:$E,MATCH(A49,'Asset Register'!$A:$A,0)),""))</f>
        <v>Student status document (immigration)</v>
      </c>
      <c r="D49" s="12" t="str">
        <f>IF(A49="","",IFERROR(INDEX('Asset Register'!$D:$D,MATCH(A49,'Asset Register'!$A:$A,0)),""))</f>
        <v>Physical</v>
      </c>
      <c r="E49" s="12" t="str">
        <f>IF(A49="","",IFERROR(INDEX('Asset Register'!$J:$J,MATCH(A49,'Asset Register'!$A:$A,0)),""))</f>
        <v>Critical</v>
      </c>
      <c r="F49" s="11" t="s">
        <v>29</v>
      </c>
      <c r="G49" s="11" t="s">
        <v>29</v>
      </c>
      <c r="H49" s="11" t="s">
        <v>29</v>
      </c>
      <c r="I49" s="11" t="s">
        <v>55</v>
      </c>
      <c r="J49" s="11" t="s">
        <v>29</v>
      </c>
      <c r="K49" s="11" t="s">
        <v>572</v>
      </c>
      <c r="L49" s="11" t="s">
        <v>29</v>
      </c>
      <c r="M49" s="11" t="s">
        <v>29</v>
      </c>
      <c r="N49" s="12" t="str">
        <f t="shared" si="4"/>
        <v>Partial</v>
      </c>
      <c r="O49" s="12">
        <f t="shared" si="5"/>
        <v>2</v>
      </c>
      <c r="P49" s="12">
        <f t="shared" si="6"/>
        <v>0</v>
      </c>
      <c r="Q49" s="12">
        <f t="shared" si="7"/>
        <v>1</v>
      </c>
      <c r="R49" s="14" t="s">
        <v>192</v>
      </c>
      <c r="S49" s="14" t="s">
        <v>193</v>
      </c>
      <c r="T49" s="15" t="s">
        <v>956</v>
      </c>
      <c r="U49" s="15" t="s">
        <v>957</v>
      </c>
      <c r="V49" s="15" t="s">
        <v>958</v>
      </c>
      <c r="W49" s="15" t="s">
        <v>959</v>
      </c>
      <c r="X49" s="15"/>
      <c r="Y49" s="14"/>
      <c r="Z49" s="16"/>
    </row>
    <row r="50" spans="1:26" ht="80" x14ac:dyDescent="0.2">
      <c r="A50" s="11" t="s">
        <v>194</v>
      </c>
      <c r="B50" s="12" t="str">
        <f>IF(A50="","",IFERROR(INDEX('Asset Register'!$B:$B,MATCH(A50,'Asset Register'!$A:$A,0)),""))</f>
        <v>D-P03</v>
      </c>
      <c r="C50" s="13" t="str">
        <f>IF(A50="","",IFERROR(INDEX('Asset Register'!$E:$E,MATCH(A50,'Asset Register'!$A:$A,0)),""))</f>
        <v>SSN-related documents</v>
      </c>
      <c r="D50" s="12" t="str">
        <f>IF(A50="","",IFERROR(INDEX('Asset Register'!$D:$D,MATCH(A50,'Asset Register'!$A:$A,0)),""))</f>
        <v>Physical</v>
      </c>
      <c r="E50" s="12" t="str">
        <f>IF(A50="","",IFERROR(INDEX('Asset Register'!$J:$J,MATCH(A50,'Asset Register'!$A:$A,0)),""))</f>
        <v>Critical</v>
      </c>
      <c r="F50" s="11" t="s">
        <v>29</v>
      </c>
      <c r="G50" s="11" t="s">
        <v>29</v>
      </c>
      <c r="H50" s="11" t="s">
        <v>29</v>
      </c>
      <c r="I50" s="11" t="s">
        <v>55</v>
      </c>
      <c r="J50" s="11" t="s">
        <v>29</v>
      </c>
      <c r="K50" s="11" t="s">
        <v>572</v>
      </c>
      <c r="L50" s="11" t="s">
        <v>29</v>
      </c>
      <c r="M50" s="11" t="s">
        <v>29</v>
      </c>
      <c r="N50" s="12" t="str">
        <f t="shared" si="4"/>
        <v>Partial</v>
      </c>
      <c r="O50" s="12">
        <f t="shared" si="5"/>
        <v>2</v>
      </c>
      <c r="P50" s="12">
        <f t="shared" si="6"/>
        <v>0</v>
      </c>
      <c r="Q50" s="12">
        <f t="shared" si="7"/>
        <v>1</v>
      </c>
      <c r="R50" s="14" t="s">
        <v>195</v>
      </c>
      <c r="S50" s="14" t="s">
        <v>196</v>
      </c>
      <c r="T50" s="15" t="s">
        <v>970</v>
      </c>
      <c r="U50" s="15" t="s">
        <v>964</v>
      </c>
      <c r="V50" s="15" t="s">
        <v>965</v>
      </c>
      <c r="W50" s="15" t="s">
        <v>971</v>
      </c>
      <c r="X50" s="15"/>
      <c r="Y50" s="14" t="s">
        <v>197</v>
      </c>
      <c r="Z50" s="16"/>
    </row>
    <row r="51" spans="1:26" ht="48" x14ac:dyDescent="0.2">
      <c r="A51" s="11" t="s">
        <v>198</v>
      </c>
      <c r="B51" s="12" t="str">
        <f>IF(A51="","",IFERROR(INDEX('Asset Register'!$B:$B,MATCH(A51,'Asset Register'!$A:$A,0)),""))</f>
        <v>D-P04</v>
      </c>
      <c r="C51" s="13" t="str">
        <f>IF(A51="","",IFERROR(INDEX('Asset Register'!$E:$E,MATCH(A51,'Asset Register'!$A:$A,0)),""))</f>
        <v>Physical credit/debit cards</v>
      </c>
      <c r="D51" s="12" t="str">
        <f>IF(A51="","",IFERROR(INDEX('Asset Register'!$D:$D,MATCH(A51,'Asset Register'!$A:$A,0)),""))</f>
        <v>Physical</v>
      </c>
      <c r="E51" s="12" t="str">
        <f>IF(A51="","",IFERROR(INDEX('Asset Register'!$J:$J,MATCH(A51,'Asset Register'!$A:$A,0)),""))</f>
        <v>High</v>
      </c>
      <c r="F51" s="11" t="s">
        <v>29</v>
      </c>
      <c r="G51" s="11" t="s">
        <v>29</v>
      </c>
      <c r="H51" s="11" t="s">
        <v>29</v>
      </c>
      <c r="I51" s="11" t="s">
        <v>572</v>
      </c>
      <c r="J51" s="11" t="s">
        <v>29</v>
      </c>
      <c r="K51" s="11" t="s">
        <v>29</v>
      </c>
      <c r="L51" s="11" t="s">
        <v>29</v>
      </c>
      <c r="M51" s="11" t="s">
        <v>29</v>
      </c>
      <c r="N51" s="12" t="str">
        <f t="shared" si="4"/>
        <v>Implemented</v>
      </c>
      <c r="O51" s="12">
        <f t="shared" si="5"/>
        <v>1</v>
      </c>
      <c r="P51" s="12">
        <f t="shared" si="6"/>
        <v>0</v>
      </c>
      <c r="Q51" s="12">
        <f t="shared" si="7"/>
        <v>0</v>
      </c>
      <c r="R51" s="14" t="s">
        <v>199</v>
      </c>
      <c r="S51" s="14" t="s">
        <v>200</v>
      </c>
      <c r="T51" s="15" t="s">
        <v>972</v>
      </c>
      <c r="U51" s="15" t="s">
        <v>973</v>
      </c>
      <c r="V51" s="15" t="s">
        <v>974</v>
      </c>
      <c r="W51" s="15" t="s">
        <v>975</v>
      </c>
      <c r="X51" s="15"/>
      <c r="Y51" s="14"/>
      <c r="Z51" s="16"/>
    </row>
    <row r="52" spans="1:26" ht="16" x14ac:dyDescent="0.2">
      <c r="A52" s="11" t="s">
        <v>202</v>
      </c>
      <c r="B52" s="12">
        <f>IF(A52="","",IFERROR(INDEX('Asset Register'!$B:$B,MATCH(A52,'Asset Register'!$A:$A,0)),""))</f>
        <v>0</v>
      </c>
      <c r="C52" s="13">
        <f>IF(A52="","",IFERROR(INDEX('Asset Register'!$E:$E,MATCH(A52,'Asset Register'!$A:$A,0)),""))</f>
        <v>0</v>
      </c>
      <c r="D52" s="12">
        <f>IF(A52="","",IFERROR(INDEX('Asset Register'!$D:$D,MATCH(A52,'Asset Register'!$A:$A,0)),""))</f>
        <v>0</v>
      </c>
      <c r="E52" s="12">
        <f>IF(A52="","",IFERROR(INDEX('Asset Register'!$J:$J,MATCH(A52,'Asset Register'!$A:$A,0)),""))</f>
        <v>0</v>
      </c>
      <c r="F52" s="11"/>
      <c r="G52" s="11"/>
      <c r="H52" s="11"/>
      <c r="I52" s="11"/>
      <c r="J52" s="11"/>
      <c r="K52" s="11"/>
      <c r="L52" s="11"/>
      <c r="M52" s="11"/>
      <c r="N52" s="12" t="str">
        <f t="shared" si="4"/>
        <v/>
      </c>
      <c r="O52" s="12" t="str">
        <f t="shared" si="5"/>
        <v/>
      </c>
      <c r="P52" s="12" t="str">
        <f t="shared" si="6"/>
        <v/>
      </c>
      <c r="Q52" s="12" t="str">
        <f t="shared" si="7"/>
        <v/>
      </c>
      <c r="R52" s="14"/>
      <c r="S52" s="14"/>
      <c r="T52" s="15"/>
      <c r="U52" s="15"/>
      <c r="V52" s="15"/>
      <c r="W52" s="15"/>
      <c r="X52" s="15"/>
      <c r="Y52" s="14"/>
      <c r="Z52" s="16"/>
    </row>
    <row r="53" spans="1:26" ht="16" x14ac:dyDescent="0.2">
      <c r="A53" s="11" t="s">
        <v>203</v>
      </c>
      <c r="B53" s="12">
        <f>IF(A53="","",IFERROR(INDEX('Asset Register'!$B:$B,MATCH(A53,'Asset Register'!$A:$A,0)),""))</f>
        <v>0</v>
      </c>
      <c r="C53" s="13">
        <f>IF(A53="","",IFERROR(INDEX('Asset Register'!$E:$E,MATCH(A53,'Asset Register'!$A:$A,0)),""))</f>
        <v>0</v>
      </c>
      <c r="D53" s="12">
        <f>IF(A53="","",IFERROR(INDEX('Asset Register'!$D:$D,MATCH(A53,'Asset Register'!$A:$A,0)),""))</f>
        <v>0</v>
      </c>
      <c r="E53" s="12">
        <f>IF(A53="","",IFERROR(INDEX('Asset Register'!$J:$J,MATCH(A53,'Asset Register'!$A:$A,0)),""))</f>
        <v>0</v>
      </c>
      <c r="F53" s="11"/>
      <c r="G53" s="11"/>
      <c r="H53" s="11"/>
      <c r="I53" s="11"/>
      <c r="J53" s="11"/>
      <c r="K53" s="11"/>
      <c r="L53" s="11"/>
      <c r="M53" s="11"/>
      <c r="N53" s="12" t="str">
        <f t="shared" si="4"/>
        <v/>
      </c>
      <c r="O53" s="12" t="str">
        <f t="shared" si="5"/>
        <v/>
      </c>
      <c r="P53" s="12" t="str">
        <f t="shared" si="6"/>
        <v/>
      </c>
      <c r="Q53" s="12" t="str">
        <f t="shared" si="7"/>
        <v/>
      </c>
      <c r="R53" s="14"/>
      <c r="S53" s="14"/>
      <c r="T53" s="15"/>
      <c r="U53" s="15"/>
      <c r="V53" s="15"/>
      <c r="W53" s="15"/>
      <c r="X53" s="15"/>
      <c r="Y53" s="14"/>
      <c r="Z53" s="16"/>
    </row>
    <row r="54" spans="1:26" ht="16" x14ac:dyDescent="0.2">
      <c r="A54" s="11" t="s">
        <v>204</v>
      </c>
      <c r="B54" s="12">
        <f>IF(A54="","",IFERROR(INDEX('Asset Register'!$B:$B,MATCH(A54,'Asset Register'!$A:$A,0)),""))</f>
        <v>0</v>
      </c>
      <c r="C54" s="13">
        <f>IF(A54="","",IFERROR(INDEX('Asset Register'!$E:$E,MATCH(A54,'Asset Register'!$A:$A,0)),""))</f>
        <v>0</v>
      </c>
      <c r="D54" s="12">
        <f>IF(A54="","",IFERROR(INDEX('Asset Register'!$D:$D,MATCH(A54,'Asset Register'!$A:$A,0)),""))</f>
        <v>0</v>
      </c>
      <c r="E54" s="12">
        <f>IF(A54="","",IFERROR(INDEX('Asset Register'!$J:$J,MATCH(A54,'Asset Register'!$A:$A,0)),""))</f>
        <v>0</v>
      </c>
      <c r="F54" s="11"/>
      <c r="G54" s="11"/>
      <c r="H54" s="11"/>
      <c r="I54" s="11"/>
      <c r="J54" s="11"/>
      <c r="K54" s="11"/>
      <c r="L54" s="11"/>
      <c r="M54" s="11"/>
      <c r="N54" s="12" t="str">
        <f t="shared" ref="N54:N85" si="8">IF(COUNTA(F54:M54)=0,"",IF((COUNTIF(F54:M54,"Implemented")+COUNTIF(F54:M54,"Partial")+COUNTIF(F54:M54,"Not Implemented"))+COUNTIF(F54:M54,"??")=0,"N/A",IF((COUNTIF(F54:M54,"Implemented")+COUNTIF(F54:M54,"Partial")+COUNTIF(F54:M54,"Not Implemented"))=0,"??",IF(COUNTIF(F54:M54,"Implemented")=(COUNTIF(F54:M54,"Implemented")+COUNTIF(F54:M54,"Partial")+COUNTIF(F54:M54,"Not Implemented")),"Implemented",IF(COUNTIF(F54:M54,"Not Implemented")=(COUNTIF(F54:M54,"Implemented")+COUNTIF(F54:M54,"Partial")+COUNTIF(F54:M54,"Not Implemented")),"Not Implemented","Partial")))))</f>
        <v/>
      </c>
      <c r="O54" s="12" t="str">
        <f t="shared" ref="O54:O89" si="9">IF(COUNTA(F54:M54)=0,"",(COUNTIF(F54:M54,"Implemented")+COUNTIF(F54:M54,"Partial")+COUNTIF(F54:M54,"Not Implemented")))</f>
        <v/>
      </c>
      <c r="P54" s="12" t="str">
        <f t="shared" ref="P54:P89" si="10">IF(COUNTA(F54:M54)=0,"",COUNTIF(F54:M54,"??"))</f>
        <v/>
      </c>
      <c r="Q54" s="12" t="str">
        <f t="shared" ref="Q54:Q89" si="11">IF(COUNTA(F54:M54)=0,"",COUNTIF(F54:M54,"Partial")+COUNTIF(F54:M54,"Not Implemented"))</f>
        <v/>
      </c>
      <c r="R54" s="14"/>
      <c r="S54" s="14"/>
      <c r="T54" s="15"/>
      <c r="U54" s="15"/>
      <c r="V54" s="15"/>
      <c r="W54" s="15"/>
      <c r="X54" s="15"/>
      <c r="Y54" s="14"/>
      <c r="Z54" s="16"/>
    </row>
    <row r="55" spans="1:26" ht="16" x14ac:dyDescent="0.2">
      <c r="A55" s="11" t="s">
        <v>205</v>
      </c>
      <c r="B55" s="12">
        <f>IF(A55="","",IFERROR(INDEX('Asset Register'!$B:$B,MATCH(A55,'Asset Register'!$A:$A,0)),""))</f>
        <v>0</v>
      </c>
      <c r="C55" s="13">
        <f>IF(A55="","",IFERROR(INDEX('Asset Register'!$E:$E,MATCH(A55,'Asset Register'!$A:$A,0)),""))</f>
        <v>0</v>
      </c>
      <c r="D55" s="12">
        <f>IF(A55="","",IFERROR(INDEX('Asset Register'!$D:$D,MATCH(A55,'Asset Register'!$A:$A,0)),""))</f>
        <v>0</v>
      </c>
      <c r="E55" s="12">
        <f>IF(A55="","",IFERROR(INDEX('Asset Register'!$J:$J,MATCH(A55,'Asset Register'!$A:$A,0)),""))</f>
        <v>0</v>
      </c>
      <c r="F55" s="11"/>
      <c r="G55" s="11"/>
      <c r="H55" s="11"/>
      <c r="I55" s="11"/>
      <c r="J55" s="11"/>
      <c r="K55" s="11"/>
      <c r="L55" s="11"/>
      <c r="M55" s="11"/>
      <c r="N55" s="12" t="str">
        <f t="shared" si="8"/>
        <v/>
      </c>
      <c r="O55" s="12" t="str">
        <f t="shared" si="9"/>
        <v/>
      </c>
      <c r="P55" s="12" t="str">
        <f t="shared" si="10"/>
        <v/>
      </c>
      <c r="Q55" s="12" t="str">
        <f t="shared" si="11"/>
        <v/>
      </c>
      <c r="R55" s="14"/>
      <c r="S55" s="14"/>
      <c r="T55" s="15"/>
      <c r="U55" s="15"/>
      <c r="V55" s="15"/>
      <c r="W55" s="15"/>
      <c r="X55" s="15"/>
      <c r="Y55" s="14"/>
      <c r="Z55" s="16"/>
    </row>
    <row r="56" spans="1:26" ht="16" x14ac:dyDescent="0.2">
      <c r="A56" s="11" t="s">
        <v>206</v>
      </c>
      <c r="B56" s="12">
        <f>IF(A56="","",IFERROR(INDEX('Asset Register'!$B:$B,MATCH(A56,'Asset Register'!$A:$A,0)),""))</f>
        <v>0</v>
      </c>
      <c r="C56" s="13">
        <f>IF(A56="","",IFERROR(INDEX('Asset Register'!$E:$E,MATCH(A56,'Asset Register'!$A:$A,0)),""))</f>
        <v>0</v>
      </c>
      <c r="D56" s="12">
        <f>IF(A56="","",IFERROR(INDEX('Asset Register'!$D:$D,MATCH(A56,'Asset Register'!$A:$A,0)),""))</f>
        <v>0</v>
      </c>
      <c r="E56" s="12">
        <f>IF(A56="","",IFERROR(INDEX('Asset Register'!$J:$J,MATCH(A56,'Asset Register'!$A:$A,0)),""))</f>
        <v>0</v>
      </c>
      <c r="F56" s="11"/>
      <c r="G56" s="11"/>
      <c r="H56" s="11"/>
      <c r="I56" s="11"/>
      <c r="J56" s="11"/>
      <c r="K56" s="11"/>
      <c r="L56" s="11"/>
      <c r="M56" s="11"/>
      <c r="N56" s="12" t="str">
        <f t="shared" si="8"/>
        <v/>
      </c>
      <c r="O56" s="12" t="str">
        <f t="shared" si="9"/>
        <v/>
      </c>
      <c r="P56" s="12" t="str">
        <f t="shared" si="10"/>
        <v/>
      </c>
      <c r="Q56" s="12" t="str">
        <f t="shared" si="11"/>
        <v/>
      </c>
      <c r="R56" s="14"/>
      <c r="S56" s="14"/>
      <c r="T56" s="15"/>
      <c r="U56" s="15"/>
      <c r="V56" s="15"/>
      <c r="W56" s="15"/>
      <c r="X56" s="15"/>
      <c r="Y56" s="14"/>
      <c r="Z56" s="16"/>
    </row>
    <row r="57" spans="1:26" ht="16" x14ac:dyDescent="0.2">
      <c r="A57" s="11" t="s">
        <v>207</v>
      </c>
      <c r="B57" s="12">
        <f>IF(A57="","",IFERROR(INDEX('Asset Register'!$B:$B,MATCH(A57,'Asset Register'!$A:$A,0)),""))</f>
        <v>0</v>
      </c>
      <c r="C57" s="13">
        <f>IF(A57="","",IFERROR(INDEX('Asset Register'!$E:$E,MATCH(A57,'Asset Register'!$A:$A,0)),""))</f>
        <v>0</v>
      </c>
      <c r="D57" s="12">
        <f>IF(A57="","",IFERROR(INDEX('Asset Register'!$D:$D,MATCH(A57,'Asset Register'!$A:$A,0)),""))</f>
        <v>0</v>
      </c>
      <c r="E57" s="12">
        <f>IF(A57="","",IFERROR(INDEX('Asset Register'!$J:$J,MATCH(A57,'Asset Register'!$A:$A,0)),""))</f>
        <v>0</v>
      </c>
      <c r="F57" s="11"/>
      <c r="G57" s="11"/>
      <c r="H57" s="11"/>
      <c r="I57" s="11"/>
      <c r="J57" s="11"/>
      <c r="K57" s="11"/>
      <c r="L57" s="11"/>
      <c r="M57" s="11"/>
      <c r="N57" s="12" t="str">
        <f t="shared" si="8"/>
        <v/>
      </c>
      <c r="O57" s="12" t="str">
        <f t="shared" si="9"/>
        <v/>
      </c>
      <c r="P57" s="12" t="str">
        <f t="shared" si="10"/>
        <v/>
      </c>
      <c r="Q57" s="12" t="str">
        <f t="shared" si="11"/>
        <v/>
      </c>
      <c r="R57" s="14"/>
      <c r="S57" s="14"/>
      <c r="T57" s="15"/>
      <c r="U57" s="15"/>
      <c r="V57" s="15"/>
      <c r="W57" s="15"/>
      <c r="X57" s="15"/>
      <c r="Y57" s="14"/>
      <c r="Z57" s="16"/>
    </row>
    <row r="58" spans="1:26" ht="16" x14ac:dyDescent="0.2">
      <c r="A58" s="11" t="s">
        <v>208</v>
      </c>
      <c r="B58" s="12">
        <f>IF(A58="","",IFERROR(INDEX('Asset Register'!$B:$B,MATCH(A58,'Asset Register'!$A:$A,0)),""))</f>
        <v>0</v>
      </c>
      <c r="C58" s="13">
        <f>IF(A58="","",IFERROR(INDEX('Asset Register'!$E:$E,MATCH(A58,'Asset Register'!$A:$A,0)),""))</f>
        <v>0</v>
      </c>
      <c r="D58" s="12">
        <f>IF(A58="","",IFERROR(INDEX('Asset Register'!$D:$D,MATCH(A58,'Asset Register'!$A:$A,0)),""))</f>
        <v>0</v>
      </c>
      <c r="E58" s="12">
        <f>IF(A58="","",IFERROR(INDEX('Asset Register'!$J:$J,MATCH(A58,'Asset Register'!$A:$A,0)),""))</f>
        <v>0</v>
      </c>
      <c r="F58" s="11"/>
      <c r="G58" s="11"/>
      <c r="H58" s="11"/>
      <c r="I58" s="11"/>
      <c r="J58" s="11"/>
      <c r="K58" s="11"/>
      <c r="L58" s="11"/>
      <c r="M58" s="11"/>
      <c r="N58" s="12" t="str">
        <f t="shared" si="8"/>
        <v/>
      </c>
      <c r="O58" s="12" t="str">
        <f t="shared" si="9"/>
        <v/>
      </c>
      <c r="P58" s="12" t="str">
        <f t="shared" si="10"/>
        <v/>
      </c>
      <c r="Q58" s="12" t="str">
        <f t="shared" si="11"/>
        <v/>
      </c>
      <c r="R58" s="14"/>
      <c r="S58" s="14"/>
      <c r="T58" s="15"/>
      <c r="U58" s="15"/>
      <c r="V58" s="15"/>
      <c r="W58" s="15"/>
      <c r="X58" s="15"/>
      <c r="Y58" s="14"/>
      <c r="Z58" s="16"/>
    </row>
    <row r="59" spans="1:26" ht="16" x14ac:dyDescent="0.2">
      <c r="A59" s="11" t="s">
        <v>209</v>
      </c>
      <c r="B59" s="12">
        <f>IF(A59="","",IFERROR(INDEX('Asset Register'!$B:$B,MATCH(A59,'Asset Register'!$A:$A,0)),""))</f>
        <v>0</v>
      </c>
      <c r="C59" s="13">
        <f>IF(A59="","",IFERROR(INDEX('Asset Register'!$E:$E,MATCH(A59,'Asset Register'!$A:$A,0)),""))</f>
        <v>0</v>
      </c>
      <c r="D59" s="12">
        <f>IF(A59="","",IFERROR(INDEX('Asset Register'!$D:$D,MATCH(A59,'Asset Register'!$A:$A,0)),""))</f>
        <v>0</v>
      </c>
      <c r="E59" s="12">
        <f>IF(A59="","",IFERROR(INDEX('Asset Register'!$J:$J,MATCH(A59,'Asset Register'!$A:$A,0)),""))</f>
        <v>0</v>
      </c>
      <c r="F59" s="11"/>
      <c r="G59" s="11"/>
      <c r="H59" s="11"/>
      <c r="I59" s="11"/>
      <c r="J59" s="11"/>
      <c r="K59" s="11"/>
      <c r="L59" s="11"/>
      <c r="M59" s="11"/>
      <c r="N59" s="12" t="str">
        <f t="shared" si="8"/>
        <v/>
      </c>
      <c r="O59" s="12" t="str">
        <f t="shared" si="9"/>
        <v/>
      </c>
      <c r="P59" s="12" t="str">
        <f t="shared" si="10"/>
        <v/>
      </c>
      <c r="Q59" s="12" t="str">
        <f t="shared" si="11"/>
        <v/>
      </c>
      <c r="R59" s="14"/>
      <c r="S59" s="14"/>
      <c r="T59" s="15"/>
      <c r="U59" s="15"/>
      <c r="V59" s="15"/>
      <c r="W59" s="15"/>
      <c r="X59" s="15"/>
      <c r="Y59" s="14"/>
      <c r="Z59" s="16"/>
    </row>
    <row r="60" spans="1:26" ht="16" x14ac:dyDescent="0.2">
      <c r="A60" s="11" t="s">
        <v>210</v>
      </c>
      <c r="B60" s="12">
        <f>IF(A60="","",IFERROR(INDEX('Asset Register'!$B:$B,MATCH(A60,'Asset Register'!$A:$A,0)),""))</f>
        <v>0</v>
      </c>
      <c r="C60" s="13">
        <f>IF(A60="","",IFERROR(INDEX('Asset Register'!$E:$E,MATCH(A60,'Asset Register'!$A:$A,0)),""))</f>
        <v>0</v>
      </c>
      <c r="D60" s="12">
        <f>IF(A60="","",IFERROR(INDEX('Asset Register'!$D:$D,MATCH(A60,'Asset Register'!$A:$A,0)),""))</f>
        <v>0</v>
      </c>
      <c r="E60" s="12">
        <f>IF(A60="","",IFERROR(INDEX('Asset Register'!$J:$J,MATCH(A60,'Asset Register'!$A:$A,0)),""))</f>
        <v>0</v>
      </c>
      <c r="F60" s="11"/>
      <c r="G60" s="11"/>
      <c r="H60" s="11"/>
      <c r="I60" s="11"/>
      <c r="J60" s="11"/>
      <c r="K60" s="11"/>
      <c r="L60" s="11"/>
      <c r="M60" s="11"/>
      <c r="N60" s="12" t="str">
        <f t="shared" si="8"/>
        <v/>
      </c>
      <c r="O60" s="12" t="str">
        <f t="shared" si="9"/>
        <v/>
      </c>
      <c r="P60" s="12" t="str">
        <f t="shared" si="10"/>
        <v/>
      </c>
      <c r="Q60" s="12" t="str">
        <f t="shared" si="11"/>
        <v/>
      </c>
      <c r="R60" s="14"/>
      <c r="S60" s="14"/>
      <c r="T60" s="15"/>
      <c r="U60" s="15"/>
      <c r="V60" s="15"/>
      <c r="W60" s="15"/>
      <c r="X60" s="15"/>
      <c r="Y60" s="14"/>
      <c r="Z60" s="16"/>
    </row>
    <row r="61" spans="1:26" ht="16" x14ac:dyDescent="0.2">
      <c r="A61" s="11" t="s">
        <v>211</v>
      </c>
      <c r="B61" s="12">
        <f>IF(A61="","",IFERROR(INDEX('Asset Register'!$B:$B,MATCH(A61,'Asset Register'!$A:$A,0)),""))</f>
        <v>0</v>
      </c>
      <c r="C61" s="13">
        <f>IF(A61="","",IFERROR(INDEX('Asset Register'!$E:$E,MATCH(A61,'Asset Register'!$A:$A,0)),""))</f>
        <v>0</v>
      </c>
      <c r="D61" s="12">
        <f>IF(A61="","",IFERROR(INDEX('Asset Register'!$D:$D,MATCH(A61,'Asset Register'!$A:$A,0)),""))</f>
        <v>0</v>
      </c>
      <c r="E61" s="12">
        <f>IF(A61="","",IFERROR(INDEX('Asset Register'!$J:$J,MATCH(A61,'Asset Register'!$A:$A,0)),""))</f>
        <v>0</v>
      </c>
      <c r="F61" s="11"/>
      <c r="G61" s="11"/>
      <c r="H61" s="11"/>
      <c r="I61" s="11"/>
      <c r="J61" s="11"/>
      <c r="K61" s="11"/>
      <c r="L61" s="11"/>
      <c r="M61" s="11"/>
      <c r="N61" s="12" t="str">
        <f t="shared" si="8"/>
        <v/>
      </c>
      <c r="O61" s="12" t="str">
        <f t="shared" si="9"/>
        <v/>
      </c>
      <c r="P61" s="12" t="str">
        <f t="shared" si="10"/>
        <v/>
      </c>
      <c r="Q61" s="12" t="str">
        <f t="shared" si="11"/>
        <v/>
      </c>
      <c r="R61" s="14"/>
      <c r="S61" s="14"/>
      <c r="T61" s="15"/>
      <c r="U61" s="15"/>
      <c r="V61" s="15"/>
      <c r="W61" s="15"/>
      <c r="X61" s="15"/>
      <c r="Y61" s="14"/>
      <c r="Z61" s="16"/>
    </row>
    <row r="62" spans="1:26" ht="16" x14ac:dyDescent="0.2">
      <c r="A62" s="11" t="s">
        <v>212</v>
      </c>
      <c r="B62" s="12">
        <f>IF(A62="","",IFERROR(INDEX('Asset Register'!$B:$B,MATCH(A62,'Asset Register'!$A:$A,0)),""))</f>
        <v>0</v>
      </c>
      <c r="C62" s="13">
        <f>IF(A62="","",IFERROR(INDEX('Asset Register'!$E:$E,MATCH(A62,'Asset Register'!$A:$A,0)),""))</f>
        <v>0</v>
      </c>
      <c r="D62" s="12">
        <f>IF(A62="","",IFERROR(INDEX('Asset Register'!$D:$D,MATCH(A62,'Asset Register'!$A:$A,0)),""))</f>
        <v>0</v>
      </c>
      <c r="E62" s="12">
        <f>IF(A62="","",IFERROR(INDEX('Asset Register'!$J:$J,MATCH(A62,'Asset Register'!$A:$A,0)),""))</f>
        <v>0</v>
      </c>
      <c r="F62" s="11"/>
      <c r="G62" s="11"/>
      <c r="H62" s="11"/>
      <c r="I62" s="11"/>
      <c r="J62" s="11"/>
      <c r="K62" s="11"/>
      <c r="L62" s="11"/>
      <c r="M62" s="11"/>
      <c r="N62" s="12" t="str">
        <f t="shared" si="8"/>
        <v/>
      </c>
      <c r="O62" s="12" t="str">
        <f t="shared" si="9"/>
        <v/>
      </c>
      <c r="P62" s="12" t="str">
        <f t="shared" si="10"/>
        <v/>
      </c>
      <c r="Q62" s="12" t="str">
        <f t="shared" si="11"/>
        <v/>
      </c>
      <c r="R62" s="14"/>
      <c r="S62" s="14"/>
      <c r="T62" s="15"/>
      <c r="U62" s="15"/>
      <c r="V62" s="15"/>
      <c r="W62" s="15"/>
      <c r="X62" s="15"/>
      <c r="Y62" s="14"/>
      <c r="Z62" s="16"/>
    </row>
    <row r="63" spans="1:26" ht="16" x14ac:dyDescent="0.2">
      <c r="A63" s="11" t="s">
        <v>213</v>
      </c>
      <c r="B63" s="12">
        <f>IF(A63="","",IFERROR(INDEX('Asset Register'!$B:$B,MATCH(A63,'Asset Register'!$A:$A,0)),""))</f>
        <v>0</v>
      </c>
      <c r="C63" s="13">
        <f>IF(A63="","",IFERROR(INDEX('Asset Register'!$E:$E,MATCH(A63,'Asset Register'!$A:$A,0)),""))</f>
        <v>0</v>
      </c>
      <c r="D63" s="12">
        <f>IF(A63="","",IFERROR(INDEX('Asset Register'!$D:$D,MATCH(A63,'Asset Register'!$A:$A,0)),""))</f>
        <v>0</v>
      </c>
      <c r="E63" s="12">
        <f>IF(A63="","",IFERROR(INDEX('Asset Register'!$J:$J,MATCH(A63,'Asset Register'!$A:$A,0)),""))</f>
        <v>0</v>
      </c>
      <c r="F63" s="11"/>
      <c r="G63" s="11"/>
      <c r="H63" s="11"/>
      <c r="I63" s="11"/>
      <c r="J63" s="11"/>
      <c r="K63" s="11"/>
      <c r="L63" s="11"/>
      <c r="M63" s="11"/>
      <c r="N63" s="12" t="str">
        <f t="shared" si="8"/>
        <v/>
      </c>
      <c r="O63" s="12" t="str">
        <f t="shared" si="9"/>
        <v/>
      </c>
      <c r="P63" s="12" t="str">
        <f t="shared" si="10"/>
        <v/>
      </c>
      <c r="Q63" s="12" t="str">
        <f t="shared" si="11"/>
        <v/>
      </c>
      <c r="R63" s="14"/>
      <c r="S63" s="14"/>
      <c r="T63" s="15"/>
      <c r="U63" s="15"/>
      <c r="V63" s="15"/>
      <c r="W63" s="15"/>
      <c r="X63" s="15"/>
      <c r="Y63" s="14"/>
      <c r="Z63" s="16"/>
    </row>
    <row r="64" spans="1:26" ht="16" x14ac:dyDescent="0.2">
      <c r="A64" s="11" t="s">
        <v>214</v>
      </c>
      <c r="B64" s="12">
        <f>IF(A64="","",IFERROR(INDEX('Asset Register'!$B:$B,MATCH(A64,'Asset Register'!$A:$A,0)),""))</f>
        <v>0</v>
      </c>
      <c r="C64" s="13">
        <f>IF(A64="","",IFERROR(INDEX('Asset Register'!$E:$E,MATCH(A64,'Asset Register'!$A:$A,0)),""))</f>
        <v>0</v>
      </c>
      <c r="D64" s="12">
        <f>IF(A64="","",IFERROR(INDEX('Asset Register'!$D:$D,MATCH(A64,'Asset Register'!$A:$A,0)),""))</f>
        <v>0</v>
      </c>
      <c r="E64" s="12">
        <f>IF(A64="","",IFERROR(INDEX('Asset Register'!$J:$J,MATCH(A64,'Asset Register'!$A:$A,0)),""))</f>
        <v>0</v>
      </c>
      <c r="F64" s="11"/>
      <c r="G64" s="11"/>
      <c r="H64" s="11"/>
      <c r="I64" s="11"/>
      <c r="J64" s="11"/>
      <c r="K64" s="11"/>
      <c r="L64" s="11"/>
      <c r="M64" s="11"/>
      <c r="N64" s="12" t="str">
        <f t="shared" si="8"/>
        <v/>
      </c>
      <c r="O64" s="12" t="str">
        <f t="shared" si="9"/>
        <v/>
      </c>
      <c r="P64" s="12" t="str">
        <f t="shared" si="10"/>
        <v/>
      </c>
      <c r="Q64" s="12" t="str">
        <f t="shared" si="11"/>
        <v/>
      </c>
      <c r="R64" s="14"/>
      <c r="S64" s="14"/>
      <c r="T64" s="15"/>
      <c r="U64" s="15"/>
      <c r="V64" s="15"/>
      <c r="W64" s="15"/>
      <c r="X64" s="15"/>
      <c r="Y64" s="14"/>
      <c r="Z64" s="16"/>
    </row>
    <row r="65" spans="1:26" ht="16" x14ac:dyDescent="0.2">
      <c r="A65" s="11" t="s">
        <v>215</v>
      </c>
      <c r="B65" s="12">
        <f>IF(A65="","",IFERROR(INDEX('Asset Register'!$B:$B,MATCH(A65,'Asset Register'!$A:$A,0)),""))</f>
        <v>0</v>
      </c>
      <c r="C65" s="13">
        <f>IF(A65="","",IFERROR(INDEX('Asset Register'!$E:$E,MATCH(A65,'Asset Register'!$A:$A,0)),""))</f>
        <v>0</v>
      </c>
      <c r="D65" s="12">
        <f>IF(A65="","",IFERROR(INDEX('Asset Register'!$D:$D,MATCH(A65,'Asset Register'!$A:$A,0)),""))</f>
        <v>0</v>
      </c>
      <c r="E65" s="12">
        <f>IF(A65="","",IFERROR(INDEX('Asset Register'!$J:$J,MATCH(A65,'Asset Register'!$A:$A,0)),""))</f>
        <v>0</v>
      </c>
      <c r="F65" s="11"/>
      <c r="G65" s="11"/>
      <c r="H65" s="11"/>
      <c r="I65" s="11"/>
      <c r="J65" s="11"/>
      <c r="K65" s="11"/>
      <c r="L65" s="11"/>
      <c r="M65" s="11"/>
      <c r="N65" s="12" t="str">
        <f t="shared" si="8"/>
        <v/>
      </c>
      <c r="O65" s="12" t="str">
        <f t="shared" si="9"/>
        <v/>
      </c>
      <c r="P65" s="12" t="str">
        <f t="shared" si="10"/>
        <v/>
      </c>
      <c r="Q65" s="12" t="str">
        <f t="shared" si="11"/>
        <v/>
      </c>
      <c r="R65" s="14"/>
      <c r="S65" s="14"/>
      <c r="T65" s="15"/>
      <c r="U65" s="15"/>
      <c r="V65" s="15"/>
      <c r="W65" s="15"/>
      <c r="X65" s="15"/>
      <c r="Y65" s="14"/>
      <c r="Z65" s="16"/>
    </row>
    <row r="66" spans="1:26" ht="16" x14ac:dyDescent="0.2">
      <c r="A66" s="11" t="s">
        <v>216</v>
      </c>
      <c r="B66" s="12">
        <f>IF(A66="","",IFERROR(INDEX('Asset Register'!$B:$B,MATCH(A66,'Asset Register'!$A:$A,0)),""))</f>
        <v>0</v>
      </c>
      <c r="C66" s="13">
        <f>IF(A66="","",IFERROR(INDEX('Asset Register'!$E:$E,MATCH(A66,'Asset Register'!$A:$A,0)),""))</f>
        <v>0</v>
      </c>
      <c r="D66" s="12">
        <f>IF(A66="","",IFERROR(INDEX('Asset Register'!$D:$D,MATCH(A66,'Asset Register'!$A:$A,0)),""))</f>
        <v>0</v>
      </c>
      <c r="E66" s="12">
        <f>IF(A66="","",IFERROR(INDEX('Asset Register'!$J:$J,MATCH(A66,'Asset Register'!$A:$A,0)),""))</f>
        <v>0</v>
      </c>
      <c r="F66" s="11"/>
      <c r="G66" s="11"/>
      <c r="H66" s="11"/>
      <c r="I66" s="11"/>
      <c r="J66" s="11"/>
      <c r="K66" s="11"/>
      <c r="L66" s="11"/>
      <c r="M66" s="11"/>
      <c r="N66" s="12" t="str">
        <f t="shared" si="8"/>
        <v/>
      </c>
      <c r="O66" s="12" t="str">
        <f t="shared" si="9"/>
        <v/>
      </c>
      <c r="P66" s="12" t="str">
        <f t="shared" si="10"/>
        <v/>
      </c>
      <c r="Q66" s="12" t="str">
        <f t="shared" si="11"/>
        <v/>
      </c>
      <c r="R66" s="14"/>
      <c r="S66" s="14"/>
      <c r="T66" s="15"/>
      <c r="U66" s="15"/>
      <c r="V66" s="15"/>
      <c r="W66" s="15"/>
      <c r="X66" s="15"/>
      <c r="Y66" s="14"/>
      <c r="Z66" s="16"/>
    </row>
    <row r="67" spans="1:26" ht="16" x14ac:dyDescent="0.2">
      <c r="A67" s="11" t="s">
        <v>217</v>
      </c>
      <c r="B67" s="12">
        <f>IF(A67="","",IFERROR(INDEX('Asset Register'!$B:$B,MATCH(A67,'Asset Register'!$A:$A,0)),""))</f>
        <v>0</v>
      </c>
      <c r="C67" s="13">
        <f>IF(A67="","",IFERROR(INDEX('Asset Register'!$E:$E,MATCH(A67,'Asset Register'!$A:$A,0)),""))</f>
        <v>0</v>
      </c>
      <c r="D67" s="12">
        <f>IF(A67="","",IFERROR(INDEX('Asset Register'!$D:$D,MATCH(A67,'Asset Register'!$A:$A,0)),""))</f>
        <v>0</v>
      </c>
      <c r="E67" s="12">
        <f>IF(A67="","",IFERROR(INDEX('Asset Register'!$J:$J,MATCH(A67,'Asset Register'!$A:$A,0)),""))</f>
        <v>0</v>
      </c>
      <c r="F67" s="11"/>
      <c r="G67" s="11"/>
      <c r="H67" s="11"/>
      <c r="I67" s="11"/>
      <c r="J67" s="11"/>
      <c r="K67" s="11"/>
      <c r="L67" s="11"/>
      <c r="M67" s="11"/>
      <c r="N67" s="12" t="str">
        <f t="shared" si="8"/>
        <v/>
      </c>
      <c r="O67" s="12" t="str">
        <f t="shared" si="9"/>
        <v/>
      </c>
      <c r="P67" s="12" t="str">
        <f t="shared" si="10"/>
        <v/>
      </c>
      <c r="Q67" s="12" t="str">
        <f t="shared" si="11"/>
        <v/>
      </c>
      <c r="R67" s="14"/>
      <c r="S67" s="14"/>
      <c r="T67" s="15"/>
      <c r="U67" s="15"/>
      <c r="V67" s="15"/>
      <c r="W67" s="15"/>
      <c r="X67" s="15"/>
      <c r="Y67" s="14"/>
      <c r="Z67" s="16"/>
    </row>
    <row r="68" spans="1:26" ht="16" x14ac:dyDescent="0.2">
      <c r="A68" s="11" t="s">
        <v>218</v>
      </c>
      <c r="B68" s="12">
        <f>IF(A68="","",IFERROR(INDEX('Asset Register'!$B:$B,MATCH(A68,'Asset Register'!$A:$A,0)),""))</f>
        <v>0</v>
      </c>
      <c r="C68" s="13">
        <f>IF(A68="","",IFERROR(INDEX('Asset Register'!$E:$E,MATCH(A68,'Asset Register'!$A:$A,0)),""))</f>
        <v>0</v>
      </c>
      <c r="D68" s="12">
        <f>IF(A68="","",IFERROR(INDEX('Asset Register'!$D:$D,MATCH(A68,'Asset Register'!$A:$A,0)),""))</f>
        <v>0</v>
      </c>
      <c r="E68" s="12">
        <f>IF(A68="","",IFERROR(INDEX('Asset Register'!$J:$J,MATCH(A68,'Asset Register'!$A:$A,0)),""))</f>
        <v>0</v>
      </c>
      <c r="F68" s="11"/>
      <c r="G68" s="11"/>
      <c r="H68" s="11"/>
      <c r="I68" s="11"/>
      <c r="J68" s="11"/>
      <c r="K68" s="11"/>
      <c r="L68" s="11"/>
      <c r="M68" s="11"/>
      <c r="N68" s="12" t="str">
        <f t="shared" si="8"/>
        <v/>
      </c>
      <c r="O68" s="12" t="str">
        <f t="shared" si="9"/>
        <v/>
      </c>
      <c r="P68" s="12" t="str">
        <f t="shared" si="10"/>
        <v/>
      </c>
      <c r="Q68" s="12" t="str">
        <f t="shared" si="11"/>
        <v/>
      </c>
      <c r="R68" s="14"/>
      <c r="S68" s="14"/>
      <c r="T68" s="15"/>
      <c r="U68" s="15"/>
      <c r="V68" s="15"/>
      <c r="W68" s="15"/>
      <c r="X68" s="15"/>
      <c r="Y68" s="14"/>
      <c r="Z68" s="16"/>
    </row>
    <row r="69" spans="1:26" ht="16" x14ac:dyDescent="0.2">
      <c r="A69" s="11" t="s">
        <v>219</v>
      </c>
      <c r="B69" s="12">
        <f>IF(A69="","",IFERROR(INDEX('Asset Register'!$B:$B,MATCH(A69,'Asset Register'!$A:$A,0)),""))</f>
        <v>0</v>
      </c>
      <c r="C69" s="13">
        <f>IF(A69="","",IFERROR(INDEX('Asset Register'!$E:$E,MATCH(A69,'Asset Register'!$A:$A,0)),""))</f>
        <v>0</v>
      </c>
      <c r="D69" s="12">
        <f>IF(A69="","",IFERROR(INDEX('Asset Register'!$D:$D,MATCH(A69,'Asset Register'!$A:$A,0)),""))</f>
        <v>0</v>
      </c>
      <c r="E69" s="12">
        <f>IF(A69="","",IFERROR(INDEX('Asset Register'!$J:$J,MATCH(A69,'Asset Register'!$A:$A,0)),""))</f>
        <v>0</v>
      </c>
      <c r="F69" s="11"/>
      <c r="G69" s="11"/>
      <c r="H69" s="11"/>
      <c r="I69" s="11"/>
      <c r="J69" s="11"/>
      <c r="K69" s="11"/>
      <c r="L69" s="11"/>
      <c r="M69" s="11"/>
      <c r="N69" s="12" t="str">
        <f t="shared" si="8"/>
        <v/>
      </c>
      <c r="O69" s="12" t="str">
        <f t="shared" si="9"/>
        <v/>
      </c>
      <c r="P69" s="12" t="str">
        <f t="shared" si="10"/>
        <v/>
      </c>
      <c r="Q69" s="12" t="str">
        <f t="shared" si="11"/>
        <v/>
      </c>
      <c r="R69" s="14"/>
      <c r="S69" s="14"/>
      <c r="T69" s="15"/>
      <c r="U69" s="15"/>
      <c r="V69" s="15"/>
      <c r="W69" s="15"/>
      <c r="X69" s="15"/>
      <c r="Y69" s="14"/>
      <c r="Z69" s="16"/>
    </row>
    <row r="70" spans="1:26" ht="16" x14ac:dyDescent="0.2">
      <c r="A70" s="11" t="s">
        <v>220</v>
      </c>
      <c r="B70" s="12">
        <f>IF(A70="","",IFERROR(INDEX('Asset Register'!$B:$B,MATCH(A70,'Asset Register'!$A:$A,0)),""))</f>
        <v>0</v>
      </c>
      <c r="C70" s="13">
        <f>IF(A70="","",IFERROR(INDEX('Asset Register'!$E:$E,MATCH(A70,'Asset Register'!$A:$A,0)),""))</f>
        <v>0</v>
      </c>
      <c r="D70" s="12">
        <f>IF(A70="","",IFERROR(INDEX('Asset Register'!$D:$D,MATCH(A70,'Asset Register'!$A:$A,0)),""))</f>
        <v>0</v>
      </c>
      <c r="E70" s="12">
        <f>IF(A70="","",IFERROR(INDEX('Asset Register'!$J:$J,MATCH(A70,'Asset Register'!$A:$A,0)),""))</f>
        <v>0</v>
      </c>
      <c r="F70" s="11"/>
      <c r="G70" s="11"/>
      <c r="H70" s="11"/>
      <c r="I70" s="11"/>
      <c r="J70" s="11"/>
      <c r="K70" s="11"/>
      <c r="L70" s="11"/>
      <c r="M70" s="11"/>
      <c r="N70" s="12" t="str">
        <f t="shared" si="8"/>
        <v/>
      </c>
      <c r="O70" s="12" t="str">
        <f t="shared" si="9"/>
        <v/>
      </c>
      <c r="P70" s="12" t="str">
        <f t="shared" si="10"/>
        <v/>
      </c>
      <c r="Q70" s="12" t="str">
        <f t="shared" si="11"/>
        <v/>
      </c>
      <c r="R70" s="14"/>
      <c r="S70" s="14"/>
      <c r="T70" s="15"/>
      <c r="U70" s="15"/>
      <c r="V70" s="15"/>
      <c r="W70" s="15"/>
      <c r="X70" s="15"/>
      <c r="Y70" s="14"/>
      <c r="Z70" s="16"/>
    </row>
    <row r="71" spans="1:26" ht="16" x14ac:dyDescent="0.2">
      <c r="A71" s="11" t="s">
        <v>221</v>
      </c>
      <c r="B71" s="12">
        <f>IF(A71="","",IFERROR(INDEX('Asset Register'!$B:$B,MATCH(A71,'Asset Register'!$A:$A,0)),""))</f>
        <v>0</v>
      </c>
      <c r="C71" s="13">
        <f>IF(A71="","",IFERROR(INDEX('Asset Register'!$E:$E,MATCH(A71,'Asset Register'!$A:$A,0)),""))</f>
        <v>0</v>
      </c>
      <c r="D71" s="12">
        <f>IF(A71="","",IFERROR(INDEX('Asset Register'!$D:$D,MATCH(A71,'Asset Register'!$A:$A,0)),""))</f>
        <v>0</v>
      </c>
      <c r="E71" s="12">
        <f>IF(A71="","",IFERROR(INDEX('Asset Register'!$J:$J,MATCH(A71,'Asset Register'!$A:$A,0)),""))</f>
        <v>0</v>
      </c>
      <c r="F71" s="11"/>
      <c r="G71" s="11"/>
      <c r="H71" s="11"/>
      <c r="I71" s="11"/>
      <c r="J71" s="11"/>
      <c r="K71" s="11"/>
      <c r="L71" s="11"/>
      <c r="M71" s="11"/>
      <c r="N71" s="12" t="str">
        <f t="shared" si="8"/>
        <v/>
      </c>
      <c r="O71" s="12" t="str">
        <f t="shared" si="9"/>
        <v/>
      </c>
      <c r="P71" s="12" t="str">
        <f t="shared" si="10"/>
        <v/>
      </c>
      <c r="Q71" s="12" t="str">
        <f t="shared" si="11"/>
        <v/>
      </c>
      <c r="R71" s="14"/>
      <c r="S71" s="14"/>
      <c r="T71" s="15"/>
      <c r="U71" s="15"/>
      <c r="V71" s="15"/>
      <c r="W71" s="15"/>
      <c r="X71" s="15"/>
      <c r="Y71" s="14"/>
      <c r="Z71" s="16"/>
    </row>
    <row r="72" spans="1:26" ht="16" x14ac:dyDescent="0.2">
      <c r="A72" s="11" t="s">
        <v>222</v>
      </c>
      <c r="B72" s="12">
        <f>IF(A72="","",IFERROR(INDEX('Asset Register'!$B:$B,MATCH(A72,'Asset Register'!$A:$A,0)),""))</f>
        <v>0</v>
      </c>
      <c r="C72" s="13">
        <f>IF(A72="","",IFERROR(INDEX('Asset Register'!$E:$E,MATCH(A72,'Asset Register'!$A:$A,0)),""))</f>
        <v>0</v>
      </c>
      <c r="D72" s="12">
        <f>IF(A72="","",IFERROR(INDEX('Asset Register'!$D:$D,MATCH(A72,'Asset Register'!$A:$A,0)),""))</f>
        <v>0</v>
      </c>
      <c r="E72" s="12">
        <f>IF(A72="","",IFERROR(INDEX('Asset Register'!$J:$J,MATCH(A72,'Asset Register'!$A:$A,0)),""))</f>
        <v>0</v>
      </c>
      <c r="F72" s="11"/>
      <c r="G72" s="11"/>
      <c r="H72" s="11"/>
      <c r="I72" s="11"/>
      <c r="J72" s="11"/>
      <c r="K72" s="11"/>
      <c r="L72" s="11"/>
      <c r="M72" s="11"/>
      <c r="N72" s="12" t="str">
        <f t="shared" si="8"/>
        <v/>
      </c>
      <c r="O72" s="12" t="str">
        <f t="shared" si="9"/>
        <v/>
      </c>
      <c r="P72" s="12" t="str">
        <f t="shared" si="10"/>
        <v/>
      </c>
      <c r="Q72" s="12" t="str">
        <f t="shared" si="11"/>
        <v/>
      </c>
      <c r="R72" s="14"/>
      <c r="S72" s="14"/>
      <c r="T72" s="15"/>
      <c r="U72" s="15"/>
      <c r="V72" s="15"/>
      <c r="W72" s="15"/>
      <c r="X72" s="15"/>
      <c r="Y72" s="14"/>
      <c r="Z72" s="16"/>
    </row>
    <row r="73" spans="1:26" ht="16" x14ac:dyDescent="0.2">
      <c r="A73" s="11" t="s">
        <v>223</v>
      </c>
      <c r="B73" s="12">
        <f>IF(A73="","",IFERROR(INDEX('Asset Register'!$B:$B,MATCH(A73,'Asset Register'!$A:$A,0)),""))</f>
        <v>0</v>
      </c>
      <c r="C73" s="13">
        <f>IF(A73="","",IFERROR(INDEX('Asset Register'!$E:$E,MATCH(A73,'Asset Register'!$A:$A,0)),""))</f>
        <v>0</v>
      </c>
      <c r="D73" s="12">
        <f>IF(A73="","",IFERROR(INDEX('Asset Register'!$D:$D,MATCH(A73,'Asset Register'!$A:$A,0)),""))</f>
        <v>0</v>
      </c>
      <c r="E73" s="12">
        <f>IF(A73="","",IFERROR(INDEX('Asset Register'!$J:$J,MATCH(A73,'Asset Register'!$A:$A,0)),""))</f>
        <v>0</v>
      </c>
      <c r="F73" s="11"/>
      <c r="G73" s="11"/>
      <c r="H73" s="11"/>
      <c r="I73" s="11"/>
      <c r="J73" s="11"/>
      <c r="K73" s="11"/>
      <c r="L73" s="11"/>
      <c r="M73" s="11"/>
      <c r="N73" s="12" t="str">
        <f t="shared" si="8"/>
        <v/>
      </c>
      <c r="O73" s="12" t="str">
        <f t="shared" si="9"/>
        <v/>
      </c>
      <c r="P73" s="12" t="str">
        <f t="shared" si="10"/>
        <v/>
      </c>
      <c r="Q73" s="12" t="str">
        <f t="shared" si="11"/>
        <v/>
      </c>
      <c r="R73" s="14"/>
      <c r="S73" s="14"/>
      <c r="T73" s="15"/>
      <c r="U73" s="15"/>
      <c r="V73" s="15"/>
      <c r="W73" s="15"/>
      <c r="X73" s="15"/>
      <c r="Y73" s="14"/>
      <c r="Z73" s="16"/>
    </row>
    <row r="74" spans="1:26" ht="16" x14ac:dyDescent="0.2">
      <c r="A74" s="11" t="s">
        <v>224</v>
      </c>
      <c r="B74" s="12">
        <f>IF(A74="","",IFERROR(INDEX('Asset Register'!$B:$B,MATCH(A74,'Asset Register'!$A:$A,0)),""))</f>
        <v>0</v>
      </c>
      <c r="C74" s="13">
        <f>IF(A74="","",IFERROR(INDEX('Asset Register'!$E:$E,MATCH(A74,'Asset Register'!$A:$A,0)),""))</f>
        <v>0</v>
      </c>
      <c r="D74" s="12">
        <f>IF(A74="","",IFERROR(INDEX('Asset Register'!$D:$D,MATCH(A74,'Asset Register'!$A:$A,0)),""))</f>
        <v>0</v>
      </c>
      <c r="E74" s="12">
        <f>IF(A74="","",IFERROR(INDEX('Asset Register'!$J:$J,MATCH(A74,'Asset Register'!$A:$A,0)),""))</f>
        <v>0</v>
      </c>
      <c r="F74" s="11"/>
      <c r="G74" s="11"/>
      <c r="H74" s="11"/>
      <c r="I74" s="11"/>
      <c r="J74" s="11"/>
      <c r="K74" s="11"/>
      <c r="L74" s="11"/>
      <c r="M74" s="11"/>
      <c r="N74" s="12" t="str">
        <f t="shared" si="8"/>
        <v/>
      </c>
      <c r="O74" s="12" t="str">
        <f t="shared" si="9"/>
        <v/>
      </c>
      <c r="P74" s="12" t="str">
        <f t="shared" si="10"/>
        <v/>
      </c>
      <c r="Q74" s="12" t="str">
        <f t="shared" si="11"/>
        <v/>
      </c>
      <c r="R74" s="14"/>
      <c r="S74" s="14"/>
      <c r="T74" s="15"/>
      <c r="U74" s="15"/>
      <c r="V74" s="15"/>
      <c r="W74" s="15"/>
      <c r="X74" s="15"/>
      <c r="Y74" s="14"/>
      <c r="Z74" s="16"/>
    </row>
    <row r="75" spans="1:26" ht="16" x14ac:dyDescent="0.2">
      <c r="A75" s="11" t="s">
        <v>225</v>
      </c>
      <c r="B75" s="12">
        <f>IF(A75="","",IFERROR(INDEX('Asset Register'!$B:$B,MATCH(A75,'Asset Register'!$A:$A,0)),""))</f>
        <v>0</v>
      </c>
      <c r="C75" s="13">
        <f>IF(A75="","",IFERROR(INDEX('Asset Register'!$E:$E,MATCH(A75,'Asset Register'!$A:$A,0)),""))</f>
        <v>0</v>
      </c>
      <c r="D75" s="12">
        <f>IF(A75="","",IFERROR(INDEX('Asset Register'!$D:$D,MATCH(A75,'Asset Register'!$A:$A,0)),""))</f>
        <v>0</v>
      </c>
      <c r="E75" s="12">
        <f>IF(A75="","",IFERROR(INDEX('Asset Register'!$J:$J,MATCH(A75,'Asset Register'!$A:$A,0)),""))</f>
        <v>0</v>
      </c>
      <c r="F75" s="11"/>
      <c r="G75" s="11"/>
      <c r="H75" s="11"/>
      <c r="I75" s="11"/>
      <c r="J75" s="11"/>
      <c r="K75" s="11"/>
      <c r="L75" s="11"/>
      <c r="M75" s="11"/>
      <c r="N75" s="12" t="str">
        <f t="shared" si="8"/>
        <v/>
      </c>
      <c r="O75" s="12" t="str">
        <f t="shared" si="9"/>
        <v/>
      </c>
      <c r="P75" s="12" t="str">
        <f t="shared" si="10"/>
        <v/>
      </c>
      <c r="Q75" s="12" t="str">
        <f t="shared" si="11"/>
        <v/>
      </c>
      <c r="R75" s="14"/>
      <c r="S75" s="14"/>
      <c r="T75" s="15"/>
      <c r="U75" s="15"/>
      <c r="V75" s="15"/>
      <c r="W75" s="15"/>
      <c r="X75" s="15"/>
      <c r="Y75" s="14"/>
      <c r="Z75" s="16"/>
    </row>
    <row r="76" spans="1:26" ht="16" x14ac:dyDescent="0.2">
      <c r="A76" s="11" t="s">
        <v>226</v>
      </c>
      <c r="B76" s="12">
        <f>IF(A76="","",IFERROR(INDEX('Asset Register'!$B:$B,MATCH(A76,'Asset Register'!$A:$A,0)),""))</f>
        <v>0</v>
      </c>
      <c r="C76" s="13">
        <f>IF(A76="","",IFERROR(INDEX('Asset Register'!$E:$E,MATCH(A76,'Asset Register'!$A:$A,0)),""))</f>
        <v>0</v>
      </c>
      <c r="D76" s="12">
        <f>IF(A76="","",IFERROR(INDEX('Asset Register'!$D:$D,MATCH(A76,'Asset Register'!$A:$A,0)),""))</f>
        <v>0</v>
      </c>
      <c r="E76" s="12">
        <f>IF(A76="","",IFERROR(INDEX('Asset Register'!$J:$J,MATCH(A76,'Asset Register'!$A:$A,0)),""))</f>
        <v>0</v>
      </c>
      <c r="F76" s="11"/>
      <c r="G76" s="11"/>
      <c r="H76" s="11"/>
      <c r="I76" s="11"/>
      <c r="J76" s="11"/>
      <c r="K76" s="11"/>
      <c r="L76" s="11"/>
      <c r="M76" s="11"/>
      <c r="N76" s="12" t="str">
        <f t="shared" si="8"/>
        <v/>
      </c>
      <c r="O76" s="12" t="str">
        <f t="shared" si="9"/>
        <v/>
      </c>
      <c r="P76" s="12" t="str">
        <f t="shared" si="10"/>
        <v/>
      </c>
      <c r="Q76" s="12" t="str">
        <f t="shared" si="11"/>
        <v/>
      </c>
      <c r="R76" s="14"/>
      <c r="S76" s="14"/>
      <c r="T76" s="15"/>
      <c r="U76" s="15"/>
      <c r="V76" s="15"/>
      <c r="W76" s="15"/>
      <c r="X76" s="15"/>
      <c r="Y76" s="14"/>
      <c r="Z76" s="16"/>
    </row>
    <row r="77" spans="1:26" ht="16" x14ac:dyDescent="0.2">
      <c r="A77" s="11" t="s">
        <v>227</v>
      </c>
      <c r="B77" s="12">
        <f>IF(A77="","",IFERROR(INDEX('Asset Register'!$B:$B,MATCH(A77,'Asset Register'!$A:$A,0)),""))</f>
        <v>0</v>
      </c>
      <c r="C77" s="13">
        <f>IF(A77="","",IFERROR(INDEX('Asset Register'!$E:$E,MATCH(A77,'Asset Register'!$A:$A,0)),""))</f>
        <v>0</v>
      </c>
      <c r="D77" s="12">
        <f>IF(A77="","",IFERROR(INDEX('Asset Register'!$D:$D,MATCH(A77,'Asset Register'!$A:$A,0)),""))</f>
        <v>0</v>
      </c>
      <c r="E77" s="12">
        <f>IF(A77="","",IFERROR(INDEX('Asset Register'!$J:$J,MATCH(A77,'Asset Register'!$A:$A,0)),""))</f>
        <v>0</v>
      </c>
      <c r="F77" s="11"/>
      <c r="G77" s="11"/>
      <c r="H77" s="11"/>
      <c r="I77" s="11"/>
      <c r="J77" s="11"/>
      <c r="K77" s="11"/>
      <c r="L77" s="11"/>
      <c r="M77" s="11"/>
      <c r="N77" s="12" t="str">
        <f t="shared" si="8"/>
        <v/>
      </c>
      <c r="O77" s="12" t="str">
        <f t="shared" si="9"/>
        <v/>
      </c>
      <c r="P77" s="12" t="str">
        <f t="shared" si="10"/>
        <v/>
      </c>
      <c r="Q77" s="12" t="str">
        <f t="shared" si="11"/>
        <v/>
      </c>
      <c r="R77" s="14"/>
      <c r="S77" s="14"/>
      <c r="T77" s="15"/>
      <c r="U77" s="15"/>
      <c r="V77" s="15"/>
      <c r="W77" s="15"/>
      <c r="X77" s="15"/>
      <c r="Y77" s="14"/>
      <c r="Z77" s="16"/>
    </row>
    <row r="78" spans="1:26" ht="16" x14ac:dyDescent="0.2">
      <c r="A78" s="11" t="s">
        <v>228</v>
      </c>
      <c r="B78" s="12">
        <f>IF(A78="","",IFERROR(INDEX('Asset Register'!$B:$B,MATCH(A78,'Asset Register'!$A:$A,0)),""))</f>
        <v>0</v>
      </c>
      <c r="C78" s="13">
        <f>IF(A78="","",IFERROR(INDEX('Asset Register'!$E:$E,MATCH(A78,'Asset Register'!$A:$A,0)),""))</f>
        <v>0</v>
      </c>
      <c r="D78" s="12">
        <f>IF(A78="","",IFERROR(INDEX('Asset Register'!$D:$D,MATCH(A78,'Asset Register'!$A:$A,0)),""))</f>
        <v>0</v>
      </c>
      <c r="E78" s="12">
        <f>IF(A78="","",IFERROR(INDEX('Asset Register'!$J:$J,MATCH(A78,'Asset Register'!$A:$A,0)),""))</f>
        <v>0</v>
      </c>
      <c r="F78" s="11"/>
      <c r="G78" s="11"/>
      <c r="H78" s="11"/>
      <c r="I78" s="11"/>
      <c r="J78" s="11"/>
      <c r="K78" s="11"/>
      <c r="L78" s="11"/>
      <c r="M78" s="11"/>
      <c r="N78" s="12" t="str">
        <f t="shared" si="8"/>
        <v/>
      </c>
      <c r="O78" s="12" t="str">
        <f t="shared" si="9"/>
        <v/>
      </c>
      <c r="P78" s="12" t="str">
        <f t="shared" si="10"/>
        <v/>
      </c>
      <c r="Q78" s="12" t="str">
        <f t="shared" si="11"/>
        <v/>
      </c>
      <c r="R78" s="14"/>
      <c r="S78" s="14"/>
      <c r="T78" s="15"/>
      <c r="U78" s="15"/>
      <c r="V78" s="15"/>
      <c r="W78" s="15"/>
      <c r="X78" s="15"/>
      <c r="Y78" s="14"/>
      <c r="Z78" s="16"/>
    </row>
    <row r="79" spans="1:26" ht="16" x14ac:dyDescent="0.2">
      <c r="A79" s="11" t="s">
        <v>229</v>
      </c>
      <c r="B79" s="12">
        <f>IF(A79="","",IFERROR(INDEX('Asset Register'!$B:$B,MATCH(A79,'Asset Register'!$A:$A,0)),""))</f>
        <v>0</v>
      </c>
      <c r="C79" s="13">
        <f>IF(A79="","",IFERROR(INDEX('Asset Register'!$E:$E,MATCH(A79,'Asset Register'!$A:$A,0)),""))</f>
        <v>0</v>
      </c>
      <c r="D79" s="12">
        <f>IF(A79="","",IFERROR(INDEX('Asset Register'!$D:$D,MATCH(A79,'Asset Register'!$A:$A,0)),""))</f>
        <v>0</v>
      </c>
      <c r="E79" s="12">
        <f>IF(A79="","",IFERROR(INDEX('Asset Register'!$J:$J,MATCH(A79,'Asset Register'!$A:$A,0)),""))</f>
        <v>0</v>
      </c>
      <c r="F79" s="11"/>
      <c r="G79" s="11"/>
      <c r="H79" s="11"/>
      <c r="I79" s="11"/>
      <c r="J79" s="11"/>
      <c r="K79" s="11"/>
      <c r="L79" s="11"/>
      <c r="M79" s="11"/>
      <c r="N79" s="12" t="str">
        <f t="shared" si="8"/>
        <v/>
      </c>
      <c r="O79" s="12" t="str">
        <f t="shared" si="9"/>
        <v/>
      </c>
      <c r="P79" s="12" t="str">
        <f t="shared" si="10"/>
        <v/>
      </c>
      <c r="Q79" s="12" t="str">
        <f t="shared" si="11"/>
        <v/>
      </c>
      <c r="R79" s="14"/>
      <c r="S79" s="14"/>
      <c r="T79" s="15"/>
      <c r="U79" s="15"/>
      <c r="V79" s="15"/>
      <c r="W79" s="15"/>
      <c r="X79" s="15"/>
      <c r="Y79" s="14"/>
      <c r="Z79" s="16"/>
    </row>
    <row r="80" spans="1:26" ht="16" x14ac:dyDescent="0.2">
      <c r="A80" s="11" t="s">
        <v>230</v>
      </c>
      <c r="B80" s="12">
        <f>IF(A80="","",IFERROR(INDEX('Asset Register'!$B:$B,MATCH(A80,'Asset Register'!$A:$A,0)),""))</f>
        <v>0</v>
      </c>
      <c r="C80" s="13">
        <f>IF(A80="","",IFERROR(INDEX('Asset Register'!$E:$E,MATCH(A80,'Asset Register'!$A:$A,0)),""))</f>
        <v>0</v>
      </c>
      <c r="D80" s="12">
        <f>IF(A80="","",IFERROR(INDEX('Asset Register'!$D:$D,MATCH(A80,'Asset Register'!$A:$A,0)),""))</f>
        <v>0</v>
      </c>
      <c r="E80" s="12">
        <f>IF(A80="","",IFERROR(INDEX('Asset Register'!$J:$J,MATCH(A80,'Asset Register'!$A:$A,0)),""))</f>
        <v>0</v>
      </c>
      <c r="F80" s="11"/>
      <c r="G80" s="11"/>
      <c r="H80" s="11"/>
      <c r="I80" s="11"/>
      <c r="J80" s="11"/>
      <c r="K80" s="11"/>
      <c r="L80" s="11"/>
      <c r="M80" s="11"/>
      <c r="N80" s="12" t="str">
        <f t="shared" si="8"/>
        <v/>
      </c>
      <c r="O80" s="12" t="str">
        <f t="shared" si="9"/>
        <v/>
      </c>
      <c r="P80" s="12" t="str">
        <f t="shared" si="10"/>
        <v/>
      </c>
      <c r="Q80" s="12" t="str">
        <f t="shared" si="11"/>
        <v/>
      </c>
      <c r="R80" s="14"/>
      <c r="S80" s="14"/>
      <c r="T80" s="15"/>
      <c r="U80" s="15"/>
      <c r="V80" s="15"/>
      <c r="W80" s="15"/>
      <c r="X80" s="15"/>
      <c r="Y80" s="14"/>
      <c r="Z80" s="16"/>
    </row>
    <row r="81" spans="1:26" ht="16" x14ac:dyDescent="0.2">
      <c r="A81" s="11" t="s">
        <v>231</v>
      </c>
      <c r="B81" s="12">
        <f>IF(A81="","",IFERROR(INDEX('Asset Register'!$B:$B,MATCH(A81,'Asset Register'!$A:$A,0)),""))</f>
        <v>0</v>
      </c>
      <c r="C81" s="13">
        <f>IF(A81="","",IFERROR(INDEX('Asset Register'!$E:$E,MATCH(A81,'Asset Register'!$A:$A,0)),""))</f>
        <v>0</v>
      </c>
      <c r="D81" s="12">
        <f>IF(A81="","",IFERROR(INDEX('Asset Register'!$D:$D,MATCH(A81,'Asset Register'!$A:$A,0)),""))</f>
        <v>0</v>
      </c>
      <c r="E81" s="12">
        <f>IF(A81="","",IFERROR(INDEX('Asset Register'!$J:$J,MATCH(A81,'Asset Register'!$A:$A,0)),""))</f>
        <v>0</v>
      </c>
      <c r="F81" s="11"/>
      <c r="G81" s="11"/>
      <c r="H81" s="11"/>
      <c r="I81" s="11"/>
      <c r="J81" s="11"/>
      <c r="K81" s="11"/>
      <c r="L81" s="11"/>
      <c r="M81" s="11"/>
      <c r="N81" s="12" t="str">
        <f t="shared" si="8"/>
        <v/>
      </c>
      <c r="O81" s="12" t="str">
        <f t="shared" si="9"/>
        <v/>
      </c>
      <c r="P81" s="12" t="str">
        <f t="shared" si="10"/>
        <v/>
      </c>
      <c r="Q81" s="12" t="str">
        <f t="shared" si="11"/>
        <v/>
      </c>
      <c r="R81" s="14"/>
      <c r="S81" s="14"/>
      <c r="T81" s="15"/>
      <c r="U81" s="15"/>
      <c r="V81" s="15"/>
      <c r="W81" s="15"/>
      <c r="X81" s="15"/>
      <c r="Y81" s="14"/>
      <c r="Z81" s="16"/>
    </row>
    <row r="82" spans="1:26" ht="16" x14ac:dyDescent="0.2">
      <c r="A82" s="11" t="s">
        <v>232</v>
      </c>
      <c r="B82" s="12">
        <f>IF(A82="","",IFERROR(INDEX('Asset Register'!$B:$B,MATCH(A82,'Asset Register'!$A:$A,0)),""))</f>
        <v>0</v>
      </c>
      <c r="C82" s="13">
        <f>IF(A82="","",IFERROR(INDEX('Asset Register'!$E:$E,MATCH(A82,'Asset Register'!$A:$A,0)),""))</f>
        <v>0</v>
      </c>
      <c r="D82" s="12">
        <f>IF(A82="","",IFERROR(INDEX('Asset Register'!$D:$D,MATCH(A82,'Asset Register'!$A:$A,0)),""))</f>
        <v>0</v>
      </c>
      <c r="E82" s="12">
        <f>IF(A82="","",IFERROR(INDEX('Asset Register'!$J:$J,MATCH(A82,'Asset Register'!$A:$A,0)),""))</f>
        <v>0</v>
      </c>
      <c r="F82" s="11"/>
      <c r="G82" s="11"/>
      <c r="H82" s="11"/>
      <c r="I82" s="11"/>
      <c r="J82" s="11"/>
      <c r="K82" s="11"/>
      <c r="L82" s="11"/>
      <c r="M82" s="11"/>
      <c r="N82" s="12" t="str">
        <f t="shared" si="8"/>
        <v/>
      </c>
      <c r="O82" s="12" t="str">
        <f t="shared" si="9"/>
        <v/>
      </c>
      <c r="P82" s="12" t="str">
        <f t="shared" si="10"/>
        <v/>
      </c>
      <c r="Q82" s="12" t="str">
        <f t="shared" si="11"/>
        <v/>
      </c>
      <c r="R82" s="14"/>
      <c r="S82" s="14"/>
      <c r="T82" s="15"/>
      <c r="U82" s="15"/>
      <c r="V82" s="15"/>
      <c r="W82" s="15"/>
      <c r="X82" s="15"/>
      <c r="Y82" s="14"/>
      <c r="Z82" s="16"/>
    </row>
    <row r="83" spans="1:26" ht="16" x14ac:dyDescent="0.2">
      <c r="A83" s="11" t="s">
        <v>233</v>
      </c>
      <c r="B83" s="12">
        <f>IF(A83="","",IFERROR(INDEX('Asset Register'!$B:$B,MATCH(A83,'Asset Register'!$A:$A,0)),""))</f>
        <v>0</v>
      </c>
      <c r="C83" s="13">
        <f>IF(A83="","",IFERROR(INDEX('Asset Register'!$E:$E,MATCH(A83,'Asset Register'!$A:$A,0)),""))</f>
        <v>0</v>
      </c>
      <c r="D83" s="12">
        <f>IF(A83="","",IFERROR(INDEX('Asset Register'!$D:$D,MATCH(A83,'Asset Register'!$A:$A,0)),""))</f>
        <v>0</v>
      </c>
      <c r="E83" s="12">
        <f>IF(A83="","",IFERROR(INDEX('Asset Register'!$J:$J,MATCH(A83,'Asset Register'!$A:$A,0)),""))</f>
        <v>0</v>
      </c>
      <c r="F83" s="11"/>
      <c r="G83" s="11"/>
      <c r="H83" s="11"/>
      <c r="I83" s="11"/>
      <c r="J83" s="11"/>
      <c r="K83" s="11"/>
      <c r="L83" s="11"/>
      <c r="M83" s="11"/>
      <c r="N83" s="12" t="str">
        <f t="shared" si="8"/>
        <v/>
      </c>
      <c r="O83" s="12" t="str">
        <f t="shared" si="9"/>
        <v/>
      </c>
      <c r="P83" s="12" t="str">
        <f t="shared" si="10"/>
        <v/>
      </c>
      <c r="Q83" s="12" t="str">
        <f t="shared" si="11"/>
        <v/>
      </c>
      <c r="R83" s="14"/>
      <c r="S83" s="14"/>
      <c r="T83" s="15"/>
      <c r="U83" s="15"/>
      <c r="V83" s="15"/>
      <c r="W83" s="15"/>
      <c r="X83" s="15"/>
      <c r="Y83" s="14"/>
      <c r="Z83" s="16"/>
    </row>
    <row r="84" spans="1:26" ht="16" x14ac:dyDescent="0.2">
      <c r="A84" s="11" t="s">
        <v>234</v>
      </c>
      <c r="B84" s="12">
        <f>IF(A84="","",IFERROR(INDEX('Asset Register'!$B:$B,MATCH(A84,'Asset Register'!$A:$A,0)),""))</f>
        <v>0</v>
      </c>
      <c r="C84" s="13">
        <f>IF(A84="","",IFERROR(INDEX('Asset Register'!$E:$E,MATCH(A84,'Asset Register'!$A:$A,0)),""))</f>
        <v>0</v>
      </c>
      <c r="D84" s="12">
        <f>IF(A84="","",IFERROR(INDEX('Asset Register'!$D:$D,MATCH(A84,'Asset Register'!$A:$A,0)),""))</f>
        <v>0</v>
      </c>
      <c r="E84" s="12">
        <f>IF(A84="","",IFERROR(INDEX('Asset Register'!$J:$J,MATCH(A84,'Asset Register'!$A:$A,0)),""))</f>
        <v>0</v>
      </c>
      <c r="F84" s="11"/>
      <c r="G84" s="11"/>
      <c r="H84" s="11"/>
      <c r="I84" s="11"/>
      <c r="J84" s="11"/>
      <c r="K84" s="11"/>
      <c r="L84" s="11"/>
      <c r="M84" s="11"/>
      <c r="N84" s="12" t="str">
        <f t="shared" si="8"/>
        <v/>
      </c>
      <c r="O84" s="12" t="str">
        <f t="shared" si="9"/>
        <v/>
      </c>
      <c r="P84" s="12" t="str">
        <f t="shared" si="10"/>
        <v/>
      </c>
      <c r="Q84" s="12" t="str">
        <f t="shared" si="11"/>
        <v/>
      </c>
      <c r="R84" s="14"/>
      <c r="S84" s="14"/>
      <c r="T84" s="15"/>
      <c r="U84" s="15"/>
      <c r="V84" s="15"/>
      <c r="W84" s="15"/>
      <c r="X84" s="15"/>
      <c r="Y84" s="14"/>
      <c r="Z84" s="16"/>
    </row>
    <row r="85" spans="1:26" ht="16" x14ac:dyDescent="0.2">
      <c r="A85" s="11" t="s">
        <v>235</v>
      </c>
      <c r="B85" s="12">
        <f>IF(A85="","",IFERROR(INDEX('Asset Register'!$B:$B,MATCH(A85,'Asset Register'!$A:$A,0)),""))</f>
        <v>0</v>
      </c>
      <c r="C85" s="13">
        <f>IF(A85="","",IFERROR(INDEX('Asset Register'!$E:$E,MATCH(A85,'Asset Register'!$A:$A,0)),""))</f>
        <v>0</v>
      </c>
      <c r="D85" s="12">
        <f>IF(A85="","",IFERROR(INDEX('Asset Register'!$D:$D,MATCH(A85,'Asset Register'!$A:$A,0)),""))</f>
        <v>0</v>
      </c>
      <c r="E85" s="12">
        <f>IF(A85="","",IFERROR(INDEX('Asset Register'!$J:$J,MATCH(A85,'Asset Register'!$A:$A,0)),""))</f>
        <v>0</v>
      </c>
      <c r="F85" s="11"/>
      <c r="G85" s="11"/>
      <c r="H85" s="11"/>
      <c r="I85" s="11"/>
      <c r="J85" s="11"/>
      <c r="K85" s="11"/>
      <c r="L85" s="11"/>
      <c r="M85" s="11"/>
      <c r="N85" s="12" t="str">
        <f t="shared" si="8"/>
        <v/>
      </c>
      <c r="O85" s="12" t="str">
        <f t="shared" si="9"/>
        <v/>
      </c>
      <c r="P85" s="12" t="str">
        <f t="shared" si="10"/>
        <v/>
      </c>
      <c r="Q85" s="12" t="str">
        <f t="shared" si="11"/>
        <v/>
      </c>
      <c r="R85" s="14"/>
      <c r="S85" s="14"/>
      <c r="T85" s="15"/>
      <c r="U85" s="15"/>
      <c r="V85" s="15"/>
      <c r="W85" s="15"/>
      <c r="X85" s="15"/>
      <c r="Y85" s="14"/>
      <c r="Z85" s="16"/>
    </row>
    <row r="86" spans="1:26" ht="16" x14ac:dyDescent="0.2">
      <c r="A86" s="11" t="s">
        <v>236</v>
      </c>
      <c r="B86" s="12">
        <f>IF(A86="","",IFERROR(INDEX('Asset Register'!$B:$B,MATCH(A86,'Asset Register'!$A:$A,0)),""))</f>
        <v>0</v>
      </c>
      <c r="C86" s="13">
        <f>IF(A86="","",IFERROR(INDEX('Asset Register'!$E:$E,MATCH(A86,'Asset Register'!$A:$A,0)),""))</f>
        <v>0</v>
      </c>
      <c r="D86" s="12">
        <f>IF(A86="","",IFERROR(INDEX('Asset Register'!$D:$D,MATCH(A86,'Asset Register'!$A:$A,0)),""))</f>
        <v>0</v>
      </c>
      <c r="E86" s="12">
        <f>IF(A86="","",IFERROR(INDEX('Asset Register'!$J:$J,MATCH(A86,'Asset Register'!$A:$A,0)),""))</f>
        <v>0</v>
      </c>
      <c r="F86" s="11"/>
      <c r="G86" s="11"/>
      <c r="H86" s="11"/>
      <c r="I86" s="11"/>
      <c r="J86" s="11"/>
      <c r="K86" s="11"/>
      <c r="L86" s="11"/>
      <c r="M86" s="11"/>
      <c r="N86" s="12" t="str">
        <f t="shared" ref="N86:N117" si="12">IF(COUNTA(F86:M86)=0,"",IF((COUNTIF(F86:M86,"Implemented")+COUNTIF(F86:M86,"Partial")+COUNTIF(F86:M86,"Not Implemented"))+COUNTIF(F86:M86,"??")=0,"N/A",IF((COUNTIF(F86:M86,"Implemented")+COUNTIF(F86:M86,"Partial")+COUNTIF(F86:M86,"Not Implemented"))=0,"??",IF(COUNTIF(F86:M86,"Implemented")=(COUNTIF(F86:M86,"Implemented")+COUNTIF(F86:M86,"Partial")+COUNTIF(F86:M86,"Not Implemented")),"Implemented",IF(COUNTIF(F86:M86,"Not Implemented")=(COUNTIF(F86:M86,"Implemented")+COUNTIF(F86:M86,"Partial")+COUNTIF(F86:M86,"Not Implemented")),"Not Implemented","Partial")))))</f>
        <v/>
      </c>
      <c r="O86" s="12" t="str">
        <f t="shared" si="9"/>
        <v/>
      </c>
      <c r="P86" s="12" t="str">
        <f t="shared" si="10"/>
        <v/>
      </c>
      <c r="Q86" s="12" t="str">
        <f t="shared" si="11"/>
        <v/>
      </c>
      <c r="R86" s="14"/>
      <c r="S86" s="14"/>
      <c r="T86" s="15"/>
      <c r="U86" s="15"/>
      <c r="V86" s="15"/>
      <c r="W86" s="15"/>
      <c r="X86" s="15"/>
      <c r="Y86" s="14"/>
      <c r="Z86" s="16"/>
    </row>
    <row r="87" spans="1:26" ht="16" x14ac:dyDescent="0.2">
      <c r="A87" s="11" t="s">
        <v>237</v>
      </c>
      <c r="B87" s="12">
        <f>IF(A87="","",IFERROR(INDEX('Asset Register'!$B:$B,MATCH(A87,'Asset Register'!$A:$A,0)),""))</f>
        <v>0</v>
      </c>
      <c r="C87" s="13">
        <f>IF(A87="","",IFERROR(INDEX('Asset Register'!$E:$E,MATCH(A87,'Asset Register'!$A:$A,0)),""))</f>
        <v>0</v>
      </c>
      <c r="D87" s="12">
        <f>IF(A87="","",IFERROR(INDEX('Asset Register'!$D:$D,MATCH(A87,'Asset Register'!$A:$A,0)),""))</f>
        <v>0</v>
      </c>
      <c r="E87" s="12">
        <f>IF(A87="","",IFERROR(INDEX('Asset Register'!$J:$J,MATCH(A87,'Asset Register'!$A:$A,0)),""))</f>
        <v>0</v>
      </c>
      <c r="F87" s="11"/>
      <c r="G87" s="11"/>
      <c r="H87" s="11"/>
      <c r="I87" s="11"/>
      <c r="J87" s="11"/>
      <c r="K87" s="11"/>
      <c r="L87" s="11"/>
      <c r="M87" s="11"/>
      <c r="N87" s="12" t="str">
        <f t="shared" si="12"/>
        <v/>
      </c>
      <c r="O87" s="12" t="str">
        <f t="shared" si="9"/>
        <v/>
      </c>
      <c r="P87" s="12" t="str">
        <f t="shared" si="10"/>
        <v/>
      </c>
      <c r="Q87" s="12" t="str">
        <f t="shared" si="11"/>
        <v/>
      </c>
      <c r="R87" s="14"/>
      <c r="S87" s="14"/>
      <c r="T87" s="15"/>
      <c r="U87" s="15"/>
      <c r="V87" s="15"/>
      <c r="W87" s="15"/>
      <c r="X87" s="15"/>
      <c r="Y87" s="14"/>
      <c r="Z87" s="16"/>
    </row>
    <row r="88" spans="1:26" ht="16" x14ac:dyDescent="0.2">
      <c r="A88" s="11" t="s">
        <v>238</v>
      </c>
      <c r="B88" s="12">
        <f>IF(A88="","",IFERROR(INDEX('Asset Register'!$B:$B,MATCH(A88,'Asset Register'!$A:$A,0)),""))</f>
        <v>0</v>
      </c>
      <c r="C88" s="13">
        <f>IF(A88="","",IFERROR(INDEX('Asset Register'!$E:$E,MATCH(A88,'Asset Register'!$A:$A,0)),""))</f>
        <v>0</v>
      </c>
      <c r="D88" s="12">
        <f>IF(A88="","",IFERROR(INDEX('Asset Register'!$D:$D,MATCH(A88,'Asset Register'!$A:$A,0)),""))</f>
        <v>0</v>
      </c>
      <c r="E88" s="12">
        <f>IF(A88="","",IFERROR(INDEX('Asset Register'!$J:$J,MATCH(A88,'Asset Register'!$A:$A,0)),""))</f>
        <v>0</v>
      </c>
      <c r="F88" s="11"/>
      <c r="G88" s="11"/>
      <c r="H88" s="11"/>
      <c r="I88" s="11"/>
      <c r="J88" s="11"/>
      <c r="K88" s="11"/>
      <c r="L88" s="11"/>
      <c r="M88" s="11"/>
      <c r="N88" s="12" t="str">
        <f t="shared" si="12"/>
        <v/>
      </c>
      <c r="O88" s="12" t="str">
        <f t="shared" si="9"/>
        <v/>
      </c>
      <c r="P88" s="12" t="str">
        <f t="shared" si="10"/>
        <v/>
      </c>
      <c r="Q88" s="12" t="str">
        <f t="shared" si="11"/>
        <v/>
      </c>
      <c r="R88" s="14"/>
      <c r="S88" s="14"/>
      <c r="T88" s="15"/>
      <c r="U88" s="15"/>
      <c r="V88" s="15"/>
      <c r="W88" s="15"/>
      <c r="X88" s="15"/>
      <c r="Y88" s="14"/>
      <c r="Z88" s="16"/>
    </row>
    <row r="89" spans="1:26" ht="16" x14ac:dyDescent="0.2">
      <c r="A89" s="11" t="s">
        <v>239</v>
      </c>
      <c r="B89" s="12">
        <f>IF(A89="","",IFERROR(INDEX('Asset Register'!$B:$B,MATCH(A89,'Asset Register'!$A:$A,0)),""))</f>
        <v>0</v>
      </c>
      <c r="C89" s="13">
        <f>IF(A89="","",IFERROR(INDEX('Asset Register'!$E:$E,MATCH(A89,'Asset Register'!$A:$A,0)),""))</f>
        <v>0</v>
      </c>
      <c r="D89" s="12">
        <f>IF(A89="","",IFERROR(INDEX('Asset Register'!$D:$D,MATCH(A89,'Asset Register'!$A:$A,0)),""))</f>
        <v>0</v>
      </c>
      <c r="E89" s="12">
        <f>IF(A89="","",IFERROR(INDEX('Asset Register'!$J:$J,MATCH(A89,'Asset Register'!$A:$A,0)),""))</f>
        <v>0</v>
      </c>
      <c r="F89" s="11"/>
      <c r="G89" s="11"/>
      <c r="H89" s="11"/>
      <c r="I89" s="11"/>
      <c r="J89" s="11"/>
      <c r="K89" s="11"/>
      <c r="L89" s="11"/>
      <c r="M89" s="11"/>
      <c r="N89" s="12" t="str">
        <f t="shared" si="12"/>
        <v/>
      </c>
      <c r="O89" s="12" t="str">
        <f t="shared" si="9"/>
        <v/>
      </c>
      <c r="P89" s="12" t="str">
        <f t="shared" si="10"/>
        <v/>
      </c>
      <c r="Q89" s="12" t="str">
        <f t="shared" si="11"/>
        <v/>
      </c>
      <c r="R89" s="14"/>
      <c r="S89" s="14"/>
      <c r="T89" s="15"/>
      <c r="U89" s="15"/>
      <c r="V89" s="15"/>
      <c r="W89" s="15"/>
      <c r="X89" s="15"/>
      <c r="Y89" s="14"/>
      <c r="Z89" s="16"/>
    </row>
  </sheetData>
  <autoFilter ref="A4:Z89" xr:uid="{00000000-0009-0000-0000-000001000000}"/>
  <conditionalFormatting sqref="E5:E89">
    <cfRule type="expression" dxfId="17" priority="11">
      <formula>E5="Critical"</formula>
    </cfRule>
    <cfRule type="expression" dxfId="16" priority="12">
      <formula>E5="High"</formula>
    </cfRule>
    <cfRule type="expression" dxfId="15" priority="13">
      <formula>E5="Medium"</formula>
    </cfRule>
    <cfRule type="expression" dxfId="14" priority="14">
      <formula>E5="Low"</formula>
    </cfRule>
  </conditionalFormatting>
  <conditionalFormatting sqref="F5:N89">
    <cfRule type="expression" dxfId="13" priority="1">
      <formula>F5="Implemented"</formula>
    </cfRule>
    <cfRule type="expression" dxfId="12" priority="2">
      <formula>F5="Partial"</formula>
    </cfRule>
    <cfRule type="expression" dxfId="11" priority="3">
      <formula>F5="Not Implemented"</formula>
    </cfRule>
    <cfRule type="expression" dxfId="10" priority="4">
      <formula>F5="N/A"</formula>
    </cfRule>
    <cfRule type="expression" dxfId="9" priority="5">
      <formula>F5="??"</formula>
    </cfRule>
  </conditionalFormatting>
  <dataValidations count="1">
    <dataValidation type="list" allowBlank="1" sqref="F5:M89" xr:uid="{00000000-0002-0000-0100-000000000000}">
      <formula1>"Implemented,Partial,Not Implemented,N/A,??"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89"/>
  <sheetViews>
    <sheetView workbookViewId="0">
      <pane xSplit="5" ySplit="4" topLeftCell="F35" activePane="bottomRight" state="frozen"/>
      <selection pane="topRight"/>
      <selection pane="bottomLeft"/>
      <selection pane="bottomRight" activeCell="S58" sqref="S58"/>
    </sheetView>
  </sheetViews>
  <sheetFormatPr baseColWidth="10" defaultColWidth="8.83203125" defaultRowHeight="15" x14ac:dyDescent="0.2"/>
  <cols>
    <col min="1" max="1" width="10" customWidth="1"/>
    <col min="2" max="2" width="9" customWidth="1"/>
    <col min="3" max="3" width="26" customWidth="1"/>
    <col min="4" max="4" width="16" customWidth="1"/>
    <col min="5" max="5" width="10" customWidth="1"/>
    <col min="6" max="10" width="13" customWidth="1"/>
    <col min="11" max="11" width="14" customWidth="1"/>
    <col min="12" max="12" width="9" customWidth="1"/>
    <col min="13" max="13" width="10" customWidth="1"/>
    <col min="14" max="14" width="7" customWidth="1"/>
    <col min="15" max="15" width="60" customWidth="1"/>
    <col min="16" max="17" width="50" customWidth="1"/>
    <col min="18" max="20" width="40" customWidth="1"/>
    <col min="21" max="21" width="10" customWidth="1"/>
    <col min="22" max="22" width="16" customWidth="1"/>
    <col min="23" max="23" width="55" customWidth="1"/>
  </cols>
  <sheetData>
    <row r="1" spans="1:23" ht="19" x14ac:dyDescent="0.25">
      <c r="A1" s="8" t="s">
        <v>458</v>
      </c>
    </row>
    <row r="2" spans="1:23" x14ac:dyDescent="0.2">
      <c r="A2" s="9" t="s">
        <v>1</v>
      </c>
    </row>
    <row r="4" spans="1:23" ht="45" customHeight="1" x14ac:dyDescent="0.2">
      <c r="A4" s="10" t="s">
        <v>2</v>
      </c>
      <c r="B4" s="10" t="s">
        <v>3</v>
      </c>
      <c r="C4" s="10" t="s">
        <v>4</v>
      </c>
      <c r="D4" s="10" t="s">
        <v>5</v>
      </c>
      <c r="E4" s="10" t="s">
        <v>6</v>
      </c>
      <c r="F4" s="10" t="s">
        <v>459</v>
      </c>
      <c r="G4" s="10" t="s">
        <v>460</v>
      </c>
      <c r="H4" s="10" t="s">
        <v>461</v>
      </c>
      <c r="I4" s="10" t="s">
        <v>462</v>
      </c>
      <c r="J4" s="10" t="s">
        <v>463</v>
      </c>
      <c r="K4" s="10" t="s">
        <v>15</v>
      </c>
      <c r="L4" s="10" t="s">
        <v>16</v>
      </c>
      <c r="M4" s="10" t="s">
        <v>17</v>
      </c>
      <c r="N4" s="10" t="s">
        <v>18</v>
      </c>
      <c r="O4" s="10" t="s">
        <v>19</v>
      </c>
      <c r="P4" s="10" t="s">
        <v>20</v>
      </c>
      <c r="Q4" s="10" t="s">
        <v>21</v>
      </c>
      <c r="R4" s="10" t="s">
        <v>22</v>
      </c>
      <c r="S4" s="10" t="s">
        <v>23</v>
      </c>
      <c r="T4" s="10" t="s">
        <v>24</v>
      </c>
      <c r="U4" s="10" t="s">
        <v>25</v>
      </c>
      <c r="V4" s="10" t="s">
        <v>26</v>
      </c>
      <c r="W4" s="10" t="s">
        <v>27</v>
      </c>
    </row>
    <row r="5" spans="1:23" ht="112" x14ac:dyDescent="0.2">
      <c r="A5" s="11" t="s">
        <v>28</v>
      </c>
      <c r="B5" s="12" t="str">
        <f>IF(A5="","",IFERROR(INDEX('Asset Register'!$B:$B,MATCH(A5,'Asset Register'!$A:$A,0)),""))</f>
        <v>H-01</v>
      </c>
      <c r="C5" s="13" t="str">
        <f>IF(A5="","",IFERROR(INDEX('Asset Register'!$E:$E,MATCH(A5,'Asset Register'!$A:$A,0)),""))</f>
        <v>MacBook Air (M4)</v>
      </c>
      <c r="D5" s="12" t="str">
        <f>IF(A5="","",IFERROR(INDEX('Asset Register'!$D:$D,MATCH(A5,'Asset Register'!$A:$A,0)),""))</f>
        <v>Device</v>
      </c>
      <c r="E5" s="12" t="str">
        <f>IF(A5="","",IFERROR(INDEX('Asset Register'!$J:$J,MATCH(A5,'Asset Register'!$A:$A,0)),""))</f>
        <v>Critical</v>
      </c>
      <c r="F5" s="11" t="s">
        <v>573</v>
      </c>
      <c r="G5" s="11" t="s">
        <v>55</v>
      </c>
      <c r="H5" s="11" t="s">
        <v>573</v>
      </c>
      <c r="I5" s="11" t="s">
        <v>573</v>
      </c>
      <c r="J5" s="11" t="s">
        <v>573</v>
      </c>
      <c r="K5" s="12" t="str">
        <f>IF(COUNTA(F5:J5)=0,"",IF((COUNTIF(F5:J5,"Implemented")+COUNTIF(F5:J5,"Partial")+COUNTIF(F5:J5,"Not Implemented"))+COUNTIF(F5:J5,"??")=0,"N/A",IF((COUNTIF(F5:J5,"Implemented")+COUNTIF(F5:J5,"Partial")+COUNTIF(F5:J5,"Not Implemented"))=0,"??",IF(COUNTIF(F5:J5,"Implemented")=(COUNTIF(F5:J5,"Implemented")+COUNTIF(F5:J5,"Partial")+COUNTIF(F5:J5,"Not Implemented")),"Implemented",IF(COUNTIF(F5:J5,"Not Implemented")=(COUNTIF(F5:J5,"Implemented")+COUNTIF(F5:J5,"Partial")+COUNTIF(F5:J5,"Not Implemented")),"Not Implemented","Partial")))))</f>
        <v>Partial</v>
      </c>
      <c r="L5" s="12">
        <f>IF(COUNTA(F5:J5)=0,"",(COUNTIF(F5:J5,"Implemented")+COUNTIF(F5:J5,"Partial")+COUNTIF(F5:J5,"Not Implemented")))</f>
        <v>5</v>
      </c>
      <c r="M5" s="12">
        <f>IF(COUNTA(F5:J5)=0,"",COUNTIF(F5:J5,"??"))</f>
        <v>0</v>
      </c>
      <c r="N5" s="12">
        <f>IF(COUNTA(F5:J5)=0,"",COUNTIF(F5:J5,"Partial")+COUNTIF(F5:J5,"Not Implemented"))</f>
        <v>5</v>
      </c>
      <c r="O5" s="14" t="s">
        <v>464</v>
      </c>
      <c r="P5" s="14" t="s">
        <v>465</v>
      </c>
      <c r="Q5" s="15" t="s">
        <v>682</v>
      </c>
      <c r="R5" s="15" t="s">
        <v>683</v>
      </c>
      <c r="S5" s="15" t="s">
        <v>684</v>
      </c>
      <c r="T5" s="15" t="s">
        <v>685</v>
      </c>
      <c r="U5" s="15" t="s">
        <v>52</v>
      </c>
      <c r="V5" s="14" t="s">
        <v>466</v>
      </c>
      <c r="W5" s="16"/>
    </row>
    <row r="6" spans="1:23" ht="144" x14ac:dyDescent="0.2">
      <c r="A6" s="11" t="s">
        <v>35</v>
      </c>
      <c r="B6" s="12" t="str">
        <f>IF(A6="","",IFERROR(INDEX('Asset Register'!$B:$B,MATCH(A6,'Asset Register'!$A:$A,0)),""))</f>
        <v>H-02</v>
      </c>
      <c r="C6" s="13" t="str">
        <f>IF(A6="","",IFERROR(INDEX('Asset Register'!$E:$E,MATCH(A6,'Asset Register'!$A:$A,0)),""))</f>
        <v>iPhone 14</v>
      </c>
      <c r="D6" s="12" t="str">
        <f>IF(A6="","",IFERROR(INDEX('Asset Register'!$D:$D,MATCH(A6,'Asset Register'!$A:$A,0)),""))</f>
        <v>Device</v>
      </c>
      <c r="E6" s="12" t="str">
        <f>IF(A6="","",IFERROR(INDEX('Asset Register'!$J:$J,MATCH(A6,'Asset Register'!$A:$A,0)),""))</f>
        <v>Critical</v>
      </c>
      <c r="F6" s="11" t="s">
        <v>573</v>
      </c>
      <c r="G6" s="11" t="s">
        <v>573</v>
      </c>
      <c r="H6" s="11" t="s">
        <v>55</v>
      </c>
      <c r="I6" s="11" t="s">
        <v>55</v>
      </c>
      <c r="J6" s="11" t="s">
        <v>573</v>
      </c>
      <c r="K6" s="12" t="str">
        <f>IF(COUNTA(F6:J6)=0,"",IF((COUNTIF(F6:J6,"Implemented")+COUNTIF(F6:J6,"Partial")+COUNTIF(F6:J6,"Not Implemented"))+COUNTIF(F6:J6,"??")=0,"N/A",IF((COUNTIF(F6:J6,"Implemented")+COUNTIF(F6:J6,"Partial")+COUNTIF(F6:J6,"Not Implemented"))=0,"??",IF(COUNTIF(F6:J6,"Implemented")=(COUNTIF(F6:J6,"Implemented")+COUNTIF(F6:J6,"Partial")+COUNTIF(F6:J6,"Not Implemented")),"Implemented",IF(COUNTIF(F6:J6,"Not Implemented")=(COUNTIF(F6:J6,"Implemented")+COUNTIF(F6:J6,"Partial")+COUNTIF(F6:J6,"Not Implemented")),"Not Implemented","Partial")))))</f>
        <v>Partial</v>
      </c>
      <c r="L6" s="12">
        <f>IF(COUNTA(F6:J6)=0,"",(COUNTIF(F6:J6,"Implemented")+COUNTIF(F6:J6,"Partial")+COUNTIF(F6:J6,"Not Implemented")))</f>
        <v>5</v>
      </c>
      <c r="M6" s="12">
        <f>IF(COUNTA(F6:J6)=0,"",COUNTIF(F6:J6,"??"))</f>
        <v>0</v>
      </c>
      <c r="N6" s="12">
        <f>IF(COUNTA(F6:J6)=0,"",COUNTIF(F6:J6,"Partial")+COUNTIF(F6:J6,"Not Implemented"))</f>
        <v>5</v>
      </c>
      <c r="O6" s="14" t="s">
        <v>467</v>
      </c>
      <c r="P6" s="14" t="s">
        <v>468</v>
      </c>
      <c r="Q6" s="15" t="s">
        <v>690</v>
      </c>
      <c r="R6" s="15" t="s">
        <v>691</v>
      </c>
      <c r="S6" s="15" t="s">
        <v>692</v>
      </c>
      <c r="T6" s="15" t="s">
        <v>693</v>
      </c>
      <c r="U6" s="15" t="s">
        <v>38</v>
      </c>
      <c r="V6" s="14" t="s">
        <v>469</v>
      </c>
      <c r="W6" s="16"/>
    </row>
    <row r="7" spans="1:23" ht="96" x14ac:dyDescent="0.2">
      <c r="A7" s="11" t="s">
        <v>40</v>
      </c>
      <c r="B7" s="12" t="str">
        <f>IF(A7="","",IFERROR(INDEX('Asset Register'!$B:$B,MATCH(A7,'Asset Register'!$A:$A,0)),""))</f>
        <v>H-03</v>
      </c>
      <c r="C7" s="13" t="str">
        <f>IF(A7="","",IFERROR(INDEX('Asset Register'!$E:$E,MATCH(A7,'Asset Register'!$A:$A,0)),""))</f>
        <v>iPad</v>
      </c>
      <c r="D7" s="12" t="str">
        <f>IF(A7="","",IFERROR(INDEX('Asset Register'!$D:$D,MATCH(A7,'Asset Register'!$A:$A,0)),""))</f>
        <v>Device</v>
      </c>
      <c r="E7" s="12" t="str">
        <f>IF(A7="","",IFERROR(INDEX('Asset Register'!$J:$J,MATCH(A7,'Asset Register'!$A:$A,0)),""))</f>
        <v>Medium</v>
      </c>
      <c r="F7" s="11" t="s">
        <v>573</v>
      </c>
      <c r="G7" s="11" t="s">
        <v>573</v>
      </c>
      <c r="H7" s="11" t="s">
        <v>29</v>
      </c>
      <c r="I7" s="11" t="s">
        <v>29</v>
      </c>
      <c r="J7" s="11" t="s">
        <v>573</v>
      </c>
      <c r="K7" s="12" t="str">
        <f>IF(COUNTA(F7:J7)=0,"",IF((COUNTIF(F7:J7,"Implemented")+COUNTIF(F7:J7,"Partial")+COUNTIF(F7:J7,"Not Implemented"))+COUNTIF(F7:J7,"??")=0,"N/A",IF((COUNTIF(F7:J7,"Implemented")+COUNTIF(F7:J7,"Partial")+COUNTIF(F7:J7,"Not Implemented"))=0,"??",IF(COUNTIF(F7:J7,"Implemented")=(COUNTIF(F7:J7,"Implemented")+COUNTIF(F7:J7,"Partial")+COUNTIF(F7:J7,"Not Implemented")),"Implemented",IF(COUNTIF(F7:J7,"Not Implemented")=(COUNTIF(F7:J7,"Implemented")+COUNTIF(F7:J7,"Partial")+COUNTIF(F7:J7,"Not Implemented")),"Not Implemented","Partial")))))</f>
        <v>Not Implemented</v>
      </c>
      <c r="L7" s="12">
        <f>IF(COUNTA(F7:J7)=0,"",(COUNTIF(F7:J7,"Implemented")+COUNTIF(F7:J7,"Partial")+COUNTIF(F7:J7,"Not Implemented")))</f>
        <v>3</v>
      </c>
      <c r="M7" s="12">
        <f>IF(COUNTA(F7:J7)=0,"",COUNTIF(F7:J7,"??"))</f>
        <v>0</v>
      </c>
      <c r="N7" s="12">
        <f>IF(COUNTA(F7:J7)=0,"",COUNTIF(F7:J7,"Partial")+COUNTIF(F7:J7,"Not Implemented"))</f>
        <v>3</v>
      </c>
      <c r="O7" s="14" t="s">
        <v>470</v>
      </c>
      <c r="P7" s="14" t="s">
        <v>471</v>
      </c>
      <c r="Q7" s="15" t="s">
        <v>698</v>
      </c>
      <c r="R7" s="15" t="s">
        <v>699</v>
      </c>
      <c r="S7" s="15" t="s">
        <v>700</v>
      </c>
      <c r="T7" s="15" t="s">
        <v>701</v>
      </c>
      <c r="U7" s="15"/>
      <c r="V7" s="14" t="s">
        <v>472</v>
      </c>
      <c r="W7" s="16"/>
    </row>
    <row r="8" spans="1:23" ht="80" x14ac:dyDescent="0.2">
      <c r="A8" s="11" t="s">
        <v>44</v>
      </c>
      <c r="B8" s="12" t="str">
        <f>IF(A8="","",IFERROR(INDEX('Asset Register'!$B:$B,MATCH(A8,'Asset Register'!$A:$A,0)),""))</f>
        <v>H-04</v>
      </c>
      <c r="C8" s="13" t="str">
        <f>IF(A8="","",IFERROR(INDEX('Asset Register'!$E:$E,MATCH(A8,'Asset Register'!$A:$A,0)),""))</f>
        <v>eSIM profile</v>
      </c>
      <c r="D8" s="12" t="str">
        <f>IF(A8="","",IFERROR(INDEX('Asset Register'!$D:$D,MATCH(A8,'Asset Register'!$A:$A,0)),""))</f>
        <v>Device</v>
      </c>
      <c r="E8" s="12" t="str">
        <f>IF(A8="","",IFERROR(INDEX('Asset Register'!$J:$J,MATCH(A8,'Asset Register'!$A:$A,0)),""))</f>
        <v>Critical</v>
      </c>
      <c r="F8" s="11" t="s">
        <v>29</v>
      </c>
      <c r="G8" s="11" t="s">
        <v>29</v>
      </c>
      <c r="H8" s="11" t="s">
        <v>29</v>
      </c>
      <c r="I8" s="11" t="s">
        <v>29</v>
      </c>
      <c r="J8" s="11" t="s">
        <v>55</v>
      </c>
      <c r="K8" s="12" t="str">
        <f>IF(COUNTA(F8:J8)=0,"",IF((COUNTIF(F8:J8,"Implemented")+COUNTIF(F8:J8,"Partial")+COUNTIF(F8:J8,"Not Implemented"))+COUNTIF(F8:J8,"??")=0,"N/A",IF((COUNTIF(F8:J8,"Implemented")+COUNTIF(F8:J8,"Partial")+COUNTIF(F8:J8,"Not Implemented"))=0,"??",IF(COUNTIF(F8:J8,"Implemented")=(COUNTIF(F8:J8,"Implemented")+COUNTIF(F8:J8,"Partial")+COUNTIF(F8:J8,"Not Implemented")),"Implemented",IF(COUNTIF(F8:J8,"Not Implemented")=(COUNTIF(F8:J8,"Implemented")+COUNTIF(F8:J8,"Partial")+COUNTIF(F8:J8,"Not Implemented")),"Not Implemented","Partial")))))</f>
        <v>Partial</v>
      </c>
      <c r="L8" s="12">
        <f>IF(COUNTA(F8:J8)=0,"",(COUNTIF(F8:J8,"Implemented")+COUNTIF(F8:J8,"Partial")+COUNTIF(F8:J8,"Not Implemented")))</f>
        <v>1</v>
      </c>
      <c r="M8" s="12">
        <f>IF(COUNTA(F8:J8)=0,"",COUNTIF(F8:J8,"??"))</f>
        <v>0</v>
      </c>
      <c r="N8" s="12">
        <f>IF(COUNTA(F8:J8)=0,"",COUNTIF(F8:J8,"Partial")+COUNTIF(F8:J8,"Not Implemented"))</f>
        <v>1</v>
      </c>
      <c r="O8" s="14" t="s">
        <v>473</v>
      </c>
      <c r="P8" s="14" t="s">
        <v>474</v>
      </c>
      <c r="Q8" s="15" t="s">
        <v>706</v>
      </c>
      <c r="R8" s="15" t="s">
        <v>707</v>
      </c>
      <c r="S8" s="15" t="s">
        <v>708</v>
      </c>
      <c r="T8" s="15" t="s">
        <v>709</v>
      </c>
      <c r="U8" s="15"/>
      <c r="V8" s="14"/>
      <c r="W8" s="16"/>
    </row>
    <row r="9" spans="1:23" ht="48" x14ac:dyDescent="0.2">
      <c r="A9" s="11" t="s">
        <v>49</v>
      </c>
      <c r="B9" s="12" t="str">
        <f>IF(A9="","",IFERROR(INDEX('Asset Register'!$B:$B,MATCH(A9,'Asset Register'!$A:$A,0)),""))</f>
        <v>H-05</v>
      </c>
      <c r="C9" s="13" t="str">
        <f>IF(A9="","",IFERROR(INDEX('Asset Register'!$E:$E,MATCH(A9,'Asset Register'!$A:$A,0)),""))</f>
        <v>Home Wi-Fi network</v>
      </c>
      <c r="D9" s="12" t="str">
        <f>IF(A9="","",IFERROR(INDEX('Asset Register'!$D:$D,MATCH(A9,'Asset Register'!$A:$A,0)),""))</f>
        <v>Network</v>
      </c>
      <c r="E9" s="12" t="str">
        <f>IF(A9="","",IFERROR(INDEX('Asset Register'!$J:$J,MATCH(A9,'Asset Register'!$A:$A,0)),""))</f>
        <v>High</v>
      </c>
      <c r="F9" s="11" t="s">
        <v>30</v>
      </c>
      <c r="G9" s="11" t="s">
        <v>29</v>
      </c>
      <c r="H9" s="11" t="s">
        <v>29</v>
      </c>
      <c r="I9" s="11" t="s">
        <v>29</v>
      </c>
      <c r="J9" s="11" t="s">
        <v>29</v>
      </c>
      <c r="K9" s="12" t="str">
        <f>IF(COUNTA(F9:J9)=0,"",IF((COUNTIF(F9:J9,"Implemented")+COUNTIF(F9:J9,"Partial")+COUNTIF(F9:J9,"Not Implemented"))+COUNTIF(F9:J9,"??")=0,"N/A",IF((COUNTIF(F9:J9,"Implemented")+COUNTIF(F9:J9,"Partial")+COUNTIF(F9:J9,"Not Implemented"))=0,"??",IF(COUNTIF(F9:J9,"Implemented")=(COUNTIF(F9:J9,"Implemented")+COUNTIF(F9:J9,"Partial")+COUNTIF(F9:J9,"Not Implemented")),"Implemented",IF(COUNTIF(F9:J9,"Not Implemented")=(COUNTIF(F9:J9,"Implemented")+COUNTIF(F9:J9,"Partial")+COUNTIF(F9:J9,"Not Implemented")),"Not Implemented","Partial")))))</f>
        <v>??</v>
      </c>
      <c r="L9" s="12">
        <f>IF(COUNTA(F9:J9)=0,"",(COUNTIF(F9:J9,"Implemented")+COUNTIF(F9:J9,"Partial")+COUNTIF(F9:J9,"Not Implemented")))</f>
        <v>0</v>
      </c>
      <c r="M9" s="12">
        <f>IF(COUNTA(F9:J9)=0,"",COUNTIF(F9:J9,"??"))</f>
        <v>1</v>
      </c>
      <c r="N9" s="12">
        <f>IF(COUNTA(F9:J9)=0,"",COUNTIF(F9:J9,"Partial")+COUNTIF(F9:J9,"Not Implemented"))</f>
        <v>0</v>
      </c>
      <c r="O9" s="14" t="s">
        <v>475</v>
      </c>
      <c r="P9" s="14" t="s">
        <v>476</v>
      </c>
      <c r="Q9" s="15" t="s">
        <v>714</v>
      </c>
      <c r="R9" s="15" t="s">
        <v>715</v>
      </c>
      <c r="S9" s="15" t="s">
        <v>716</v>
      </c>
      <c r="T9" s="15" t="s">
        <v>717</v>
      </c>
      <c r="U9" s="15" t="s">
        <v>52</v>
      </c>
      <c r="V9" s="14" t="s">
        <v>477</v>
      </c>
      <c r="W9" s="16"/>
    </row>
    <row r="10" spans="1:23" ht="64" x14ac:dyDescent="0.2">
      <c r="A10" s="11" t="s">
        <v>54</v>
      </c>
      <c r="B10" s="12" t="str">
        <f>IF(A10="","",IFERROR(INDEX('Asset Register'!$B:$B,MATCH(A10,'Asset Register'!$A:$A,0)),""))</f>
        <v>A-F01</v>
      </c>
      <c r="C10" s="13" t="str">
        <f>IF(A10="","",IFERROR(INDEX('Asset Register'!$E:$E,MATCH(A10,'Asset Register'!$A:$A,0)),""))</f>
        <v>Primary US bank</v>
      </c>
      <c r="D10" s="12" t="str">
        <f>IF(A10="","",IFERROR(INDEX('Asset Register'!$D:$D,MATCH(A10,'Asset Register'!$A:$A,0)),""))</f>
        <v>Financial</v>
      </c>
      <c r="E10" s="12" t="str">
        <f>IF(A10="","",IFERROR(INDEX('Asset Register'!$J:$J,MATCH(A10,'Asset Register'!$A:$A,0)),""))</f>
        <v>Critical</v>
      </c>
      <c r="F10" s="11" t="s">
        <v>29</v>
      </c>
      <c r="G10" s="11" t="s">
        <v>29</v>
      </c>
      <c r="H10" s="11" t="s">
        <v>573</v>
      </c>
      <c r="I10" s="11" t="s">
        <v>55</v>
      </c>
      <c r="J10" s="11" t="s">
        <v>29</v>
      </c>
      <c r="K10" s="12" t="str">
        <f>IF(COUNTA(F10:J10)=0,"",IF((COUNTIF(F10:J10,"Implemented")+COUNTIF(F10:J10,"Partial")+COUNTIF(F10:J10,"Not Implemented"))+COUNTIF(F10:J10,"??")=0,"N/A",IF((COUNTIF(F10:J10,"Implemented")+COUNTIF(F10:J10,"Partial")+COUNTIF(F10:J10,"Not Implemented"))=0,"??",IF(COUNTIF(F10:J10,"Implemented")=(COUNTIF(F10:J10,"Implemented")+COUNTIF(F10:J10,"Partial")+COUNTIF(F10:J10,"Not Implemented")),"Implemented",IF(COUNTIF(F10:J10,"Not Implemented")=(COUNTIF(F10:J10,"Implemented")+COUNTIF(F10:J10,"Partial")+COUNTIF(F10:J10,"Not Implemented")),"Not Implemented","Partial")))))</f>
        <v>Partial</v>
      </c>
      <c r="L10" s="12">
        <f>IF(COUNTA(F10:J10)=0,"",(COUNTIF(F10:J10,"Implemented")+COUNTIF(F10:J10,"Partial")+COUNTIF(F10:J10,"Not Implemented")))</f>
        <v>2</v>
      </c>
      <c r="M10" s="12">
        <f>IF(COUNTA(F10:J10)=0,"",COUNTIF(F10:J10,"??"))</f>
        <v>0</v>
      </c>
      <c r="N10" s="12">
        <f>IF(COUNTA(F10:J10)=0,"",COUNTIF(F10:J10,"Partial")+COUNTIF(F10:J10,"Not Implemented"))</f>
        <v>2</v>
      </c>
      <c r="O10" s="14" t="s">
        <v>478</v>
      </c>
      <c r="P10" s="14" t="s">
        <v>479</v>
      </c>
      <c r="Q10" s="15" t="s">
        <v>480</v>
      </c>
      <c r="R10" s="15" t="s">
        <v>481</v>
      </c>
      <c r="S10" s="15" t="s">
        <v>482</v>
      </c>
      <c r="T10" s="15" t="s">
        <v>483</v>
      </c>
      <c r="U10" s="15"/>
      <c r="V10" s="14" t="s">
        <v>484</v>
      </c>
      <c r="W10" s="16" t="s">
        <v>485</v>
      </c>
    </row>
    <row r="11" spans="1:23" ht="64" x14ac:dyDescent="0.2">
      <c r="A11" s="11" t="s">
        <v>64</v>
      </c>
      <c r="B11" s="12" t="str">
        <f>IF(A11="","",IFERROR(INDEX('Asset Register'!$B:$B,MATCH(A11,'Asset Register'!$A:$A,0)),""))</f>
        <v>A-F02</v>
      </c>
      <c r="C11" s="13" t="str">
        <f>IF(A11="","",IFERROR(INDEX('Asset Register'!$E:$E,MATCH(A11,'Asset Register'!$A:$A,0)),""))</f>
        <v>International transfer service</v>
      </c>
      <c r="D11" s="12" t="str">
        <f>IF(A11="","",IFERROR(INDEX('Asset Register'!$D:$D,MATCH(A11,'Asset Register'!$A:$A,0)),""))</f>
        <v>Financial</v>
      </c>
      <c r="E11" s="12" t="str">
        <f>IF(A11="","",IFERROR(INDEX('Asset Register'!$J:$J,MATCH(A11,'Asset Register'!$A:$A,0)),""))</f>
        <v>Critical</v>
      </c>
      <c r="F11" s="11" t="s">
        <v>29</v>
      </c>
      <c r="G11" s="11" t="s">
        <v>29</v>
      </c>
      <c r="H11" s="11" t="s">
        <v>572</v>
      </c>
      <c r="I11" s="11" t="s">
        <v>572</v>
      </c>
      <c r="J11" s="11" t="s">
        <v>29</v>
      </c>
      <c r="K11" s="12" t="str">
        <f>IF(COUNTA(F11:J11)=0,"",IF((COUNTIF(F11:J11,"Implemented")+COUNTIF(F11:J11,"Partial")+COUNTIF(F11:J11,"Not Implemented"))+COUNTIF(F11:J11,"??")=0,"N/A",IF((COUNTIF(F11:J11,"Implemented")+COUNTIF(F11:J11,"Partial")+COUNTIF(F11:J11,"Not Implemented"))=0,"??",IF(COUNTIF(F11:J11,"Implemented")=(COUNTIF(F11:J11,"Implemented")+COUNTIF(F11:J11,"Partial")+COUNTIF(F11:J11,"Not Implemented")),"Implemented",IF(COUNTIF(F11:J11,"Not Implemented")=(COUNTIF(F11:J11,"Implemented")+COUNTIF(F11:J11,"Partial")+COUNTIF(F11:J11,"Not Implemented")),"Not Implemented","Partial")))))</f>
        <v>Implemented</v>
      </c>
      <c r="L11" s="12">
        <f>IF(COUNTA(F11:J11)=0,"",(COUNTIF(F11:J11,"Implemented")+COUNTIF(F11:J11,"Partial")+COUNTIF(F11:J11,"Not Implemented")))</f>
        <v>2</v>
      </c>
      <c r="M11" s="12">
        <f>IF(COUNTA(F11:J11)=0,"",COUNTIF(F11:J11,"??"))</f>
        <v>0</v>
      </c>
      <c r="N11" s="12">
        <f>IF(COUNTA(F11:J11)=0,"",COUNTIF(F11:J11,"Partial")+COUNTIF(F11:J11,"Not Implemented"))</f>
        <v>0</v>
      </c>
      <c r="O11" s="14" t="s">
        <v>486</v>
      </c>
      <c r="P11" s="14" t="s">
        <v>487</v>
      </c>
      <c r="Q11" s="15" t="s">
        <v>718</v>
      </c>
      <c r="R11" s="15" t="s">
        <v>719</v>
      </c>
      <c r="S11" s="15" t="s">
        <v>720</v>
      </c>
      <c r="T11" s="15" t="s">
        <v>721</v>
      </c>
      <c r="U11" s="15"/>
      <c r="V11" s="14" t="s">
        <v>488</v>
      </c>
      <c r="W11" s="16"/>
    </row>
    <row r="12" spans="1:23" ht="80" x14ac:dyDescent="0.2">
      <c r="A12" s="11" t="s">
        <v>73</v>
      </c>
      <c r="B12" s="12" t="str">
        <f>IF(A12="","",IFERROR(INDEX('Asset Register'!$B:$B,MATCH(A12,'Asset Register'!$A:$A,0)),""))</f>
        <v>A-F03</v>
      </c>
      <c r="C12" s="13" t="str">
        <f>IF(A12="","",IFERROR(INDEX('Asset Register'!$E:$E,MATCH(A12,'Asset Register'!$A:$A,0)),""))</f>
        <v>Credit card portal (x1)</v>
      </c>
      <c r="D12" s="12" t="str">
        <f>IF(A12="","",IFERROR(INDEX('Asset Register'!$D:$D,MATCH(A12,'Asset Register'!$A:$A,0)),""))</f>
        <v>Financial</v>
      </c>
      <c r="E12" s="12" t="str">
        <f>IF(A12="","",IFERROR(INDEX('Asset Register'!$J:$J,MATCH(A12,'Asset Register'!$A:$A,0)),""))</f>
        <v>Critical</v>
      </c>
      <c r="F12" s="11" t="s">
        <v>29</v>
      </c>
      <c r="G12" s="11" t="s">
        <v>29</v>
      </c>
      <c r="H12" s="11" t="s">
        <v>572</v>
      </c>
      <c r="I12" s="11" t="s">
        <v>572</v>
      </c>
      <c r="J12" s="11" t="s">
        <v>29</v>
      </c>
      <c r="K12" s="12" t="str">
        <f>IF(COUNTA(F12:J12)=0,"",IF((COUNTIF(F12:J12,"Implemented")+COUNTIF(F12:J12,"Partial")+COUNTIF(F12:J12,"Not Implemented"))+COUNTIF(F12:J12,"??")=0,"N/A",IF((COUNTIF(F12:J12,"Implemented")+COUNTIF(F12:J12,"Partial")+COUNTIF(F12:J12,"Not Implemented"))=0,"??",IF(COUNTIF(F12:J12,"Implemented")=(COUNTIF(F12:J12,"Implemented")+COUNTIF(F12:J12,"Partial")+COUNTIF(F12:J12,"Not Implemented")),"Implemented",IF(COUNTIF(F12:J12,"Not Implemented")=(COUNTIF(F12:J12,"Implemented")+COUNTIF(F12:J12,"Partial")+COUNTIF(F12:J12,"Not Implemented")),"Not Implemented","Partial")))))</f>
        <v>Implemented</v>
      </c>
      <c r="L12" s="12">
        <f>IF(COUNTA(F12:J12)=0,"",(COUNTIF(F12:J12,"Implemented")+COUNTIF(F12:J12,"Partial")+COUNTIF(F12:J12,"Not Implemented")))</f>
        <v>2</v>
      </c>
      <c r="M12" s="12">
        <f>IF(COUNTA(F12:J12)=0,"",COUNTIF(F12:J12,"??"))</f>
        <v>0</v>
      </c>
      <c r="N12" s="12">
        <f>IF(COUNTA(F12:J12)=0,"",COUNTIF(F12:J12,"Partial")+COUNTIF(F12:J12,"Not Implemented"))</f>
        <v>0</v>
      </c>
      <c r="O12" s="14" t="s">
        <v>489</v>
      </c>
      <c r="P12" s="14" t="s">
        <v>490</v>
      </c>
      <c r="Q12" s="15" t="s">
        <v>726</v>
      </c>
      <c r="R12" s="15" t="s">
        <v>727</v>
      </c>
      <c r="S12" s="15" t="s">
        <v>728</v>
      </c>
      <c r="T12" s="15" t="s">
        <v>729</v>
      </c>
      <c r="U12" s="15"/>
      <c r="V12" s="14" t="s">
        <v>491</v>
      </c>
      <c r="W12" s="16"/>
    </row>
    <row r="13" spans="1:23" ht="80" x14ac:dyDescent="0.2">
      <c r="A13" s="11" t="s">
        <v>76</v>
      </c>
      <c r="B13" s="12" t="str">
        <f>IF(A13="","",IFERROR(INDEX('Asset Register'!$B:$B,MATCH(A13,'Asset Register'!$A:$A,0)),""))</f>
        <v>A-F04</v>
      </c>
      <c r="C13" s="13" t="str">
        <f>IF(A13="","",IFERROR(INDEX('Asset Register'!$E:$E,MATCH(A13,'Asset Register'!$A:$A,0)),""))</f>
        <v>Debit card portals (x4)</v>
      </c>
      <c r="D13" s="12" t="str">
        <f>IF(A13="","",IFERROR(INDEX('Asset Register'!$D:$D,MATCH(A13,'Asset Register'!$A:$A,0)),""))</f>
        <v>Financial</v>
      </c>
      <c r="E13" s="12" t="str">
        <f>IF(A13="","",IFERROR(INDEX('Asset Register'!$J:$J,MATCH(A13,'Asset Register'!$A:$A,0)),""))</f>
        <v>High</v>
      </c>
      <c r="F13" s="11" t="s">
        <v>29</v>
      </c>
      <c r="G13" s="11" t="s">
        <v>29</v>
      </c>
      <c r="H13" s="11" t="s">
        <v>572</v>
      </c>
      <c r="I13" s="11" t="s">
        <v>572</v>
      </c>
      <c r="J13" s="11" t="s">
        <v>29</v>
      </c>
      <c r="K13" s="12" t="str">
        <f>IF(COUNTA(F13:J13)=0,"",IF((COUNTIF(F13:J13,"Implemented")+COUNTIF(F13:J13,"Partial")+COUNTIF(F13:J13,"Not Implemented"))+COUNTIF(F13:J13,"??")=0,"N/A",IF((COUNTIF(F13:J13,"Implemented")+COUNTIF(F13:J13,"Partial")+COUNTIF(F13:J13,"Not Implemented"))=0,"??",IF(COUNTIF(F13:J13,"Implemented")=(COUNTIF(F13:J13,"Implemented")+COUNTIF(F13:J13,"Partial")+COUNTIF(F13:J13,"Not Implemented")),"Implemented",IF(COUNTIF(F13:J13,"Not Implemented")=(COUNTIF(F13:J13,"Implemented")+COUNTIF(F13:J13,"Partial")+COUNTIF(F13:J13,"Not Implemented")),"Not Implemented","Partial")))))</f>
        <v>Implemented</v>
      </c>
      <c r="L13" s="12">
        <f>IF(COUNTA(F13:J13)=0,"",(COUNTIF(F13:J13,"Implemented")+COUNTIF(F13:J13,"Partial")+COUNTIF(F13:J13,"Not Implemented")))</f>
        <v>2</v>
      </c>
      <c r="M13" s="12">
        <f>IF(COUNTA(F13:J13)=0,"",COUNTIF(F13:J13,"??"))</f>
        <v>0</v>
      </c>
      <c r="N13" s="12">
        <f>IF(COUNTA(F13:J13)=0,"",COUNTIF(F13:J13,"Partial")+COUNTIF(F13:J13,"Not Implemented"))</f>
        <v>0</v>
      </c>
      <c r="O13" s="14" t="s">
        <v>492</v>
      </c>
      <c r="P13" s="14" t="s">
        <v>493</v>
      </c>
      <c r="Q13" s="15" t="s">
        <v>726</v>
      </c>
      <c r="R13" s="15" t="s">
        <v>727</v>
      </c>
      <c r="S13" s="15" t="s">
        <v>728</v>
      </c>
      <c r="T13" s="15" t="s">
        <v>729</v>
      </c>
      <c r="U13" s="15"/>
      <c r="V13" s="14" t="s">
        <v>494</v>
      </c>
      <c r="W13" s="16"/>
    </row>
    <row r="14" spans="1:23" ht="48" x14ac:dyDescent="0.2">
      <c r="A14" s="11" t="s">
        <v>79</v>
      </c>
      <c r="B14" s="12" t="str">
        <f>IF(A14="","",IFERROR(INDEX('Asset Register'!$B:$B,MATCH(A14,'Asset Register'!$A:$A,0)),""))</f>
        <v>A-F05</v>
      </c>
      <c r="C14" s="13" t="str">
        <f>IF(A14="","",IFERROR(INDEX('Asset Register'!$E:$E,MATCH(A14,'Asset Register'!$A:$A,0)),""))</f>
        <v>Apple Pay</v>
      </c>
      <c r="D14" s="12" t="str">
        <f>IF(A14="","",IFERROR(INDEX('Asset Register'!$D:$D,MATCH(A14,'Asset Register'!$A:$A,0)),""))</f>
        <v>Financial</v>
      </c>
      <c r="E14" s="12" t="str">
        <f>IF(A14="","",IFERROR(INDEX('Asset Register'!$J:$J,MATCH(A14,'Asset Register'!$A:$A,0)),""))</f>
        <v>Critical</v>
      </c>
      <c r="F14" s="11" t="s">
        <v>29</v>
      </c>
      <c r="G14" s="11" t="s">
        <v>29</v>
      </c>
      <c r="H14" s="11" t="s">
        <v>572</v>
      </c>
      <c r="I14" s="11" t="s">
        <v>572</v>
      </c>
      <c r="J14" s="11" t="s">
        <v>29</v>
      </c>
      <c r="K14" s="12" t="str">
        <f>IF(COUNTA(F14:J14)=0,"",IF((COUNTIF(F14:J14,"Implemented")+COUNTIF(F14:J14,"Partial")+COUNTIF(F14:J14,"Not Implemented"))+COUNTIF(F14:J14,"??")=0,"N/A",IF((COUNTIF(F14:J14,"Implemented")+COUNTIF(F14:J14,"Partial")+COUNTIF(F14:J14,"Not Implemented"))=0,"??",IF(COUNTIF(F14:J14,"Implemented")=(COUNTIF(F14:J14,"Implemented")+COUNTIF(F14:J14,"Partial")+COUNTIF(F14:J14,"Not Implemented")),"Implemented",IF(COUNTIF(F14:J14,"Not Implemented")=(COUNTIF(F14:J14,"Implemented")+COUNTIF(F14:J14,"Partial")+COUNTIF(F14:J14,"Not Implemented")),"Not Implemented","Partial")))))</f>
        <v>Implemented</v>
      </c>
      <c r="L14" s="12">
        <f>IF(COUNTA(F14:J14)=0,"",(COUNTIF(F14:J14,"Implemented")+COUNTIF(F14:J14,"Partial")+COUNTIF(F14:J14,"Not Implemented")))</f>
        <v>2</v>
      </c>
      <c r="M14" s="12">
        <f>IF(COUNTA(F14:J14)=0,"",COUNTIF(F14:J14,"??"))</f>
        <v>0</v>
      </c>
      <c r="N14" s="12">
        <f>IF(COUNTA(F14:J14)=0,"",COUNTIF(F14:J14,"Partial")+COUNTIF(F14:J14,"Not Implemented"))</f>
        <v>0</v>
      </c>
      <c r="O14" s="14" t="s">
        <v>495</v>
      </c>
      <c r="P14" s="14" t="s">
        <v>496</v>
      </c>
      <c r="Q14" s="15" t="s">
        <v>734</v>
      </c>
      <c r="R14" s="15" t="s">
        <v>735</v>
      </c>
      <c r="S14" s="15" t="s">
        <v>736</v>
      </c>
      <c r="T14" s="15" t="s">
        <v>737</v>
      </c>
      <c r="U14" s="15" t="s">
        <v>497</v>
      </c>
      <c r="V14" s="14" t="s">
        <v>498</v>
      </c>
      <c r="W14" s="16"/>
    </row>
    <row r="15" spans="1:23" ht="80" x14ac:dyDescent="0.2">
      <c r="A15" s="11" t="s">
        <v>82</v>
      </c>
      <c r="B15" s="12" t="str">
        <f>IF(A15="","",IFERROR(INDEX('Asset Register'!$B:$B,MATCH(A15,'Asset Register'!$A:$A,0)),""))</f>
        <v>A-F06</v>
      </c>
      <c r="C15" s="13" t="str">
        <f>IF(A15="","",IFERROR(INDEX('Asset Register'!$E:$E,MATCH(A15,'Asset Register'!$A:$A,0)),""))</f>
        <v>P2P payment app</v>
      </c>
      <c r="D15" s="12" t="str">
        <f>IF(A15="","",IFERROR(INDEX('Asset Register'!$D:$D,MATCH(A15,'Asset Register'!$A:$A,0)),""))</f>
        <v>Financial</v>
      </c>
      <c r="E15" s="12" t="str">
        <f>IF(A15="","",IFERROR(INDEX('Asset Register'!$J:$J,MATCH(A15,'Asset Register'!$A:$A,0)),""))</f>
        <v>High</v>
      </c>
      <c r="F15" s="11" t="s">
        <v>29</v>
      </c>
      <c r="G15" s="11" t="s">
        <v>29</v>
      </c>
      <c r="H15" s="11" t="s">
        <v>572</v>
      </c>
      <c r="I15" s="11" t="s">
        <v>572</v>
      </c>
      <c r="J15" s="11" t="s">
        <v>29</v>
      </c>
      <c r="K15" s="12" t="str">
        <f>IF(COUNTA(F15:J15)=0,"",IF((COUNTIF(F15:J15,"Implemented")+COUNTIF(F15:J15,"Partial")+COUNTIF(F15:J15,"Not Implemented"))+COUNTIF(F15:J15,"??")=0,"N/A",IF((COUNTIF(F15:J15,"Implemented")+COUNTIF(F15:J15,"Partial")+COUNTIF(F15:J15,"Not Implemented"))=0,"??",IF(COUNTIF(F15:J15,"Implemented")=(COUNTIF(F15:J15,"Implemented")+COUNTIF(F15:J15,"Partial")+COUNTIF(F15:J15,"Not Implemented")),"Implemented",IF(COUNTIF(F15:J15,"Not Implemented")=(COUNTIF(F15:J15,"Implemented")+COUNTIF(F15:J15,"Partial")+COUNTIF(F15:J15,"Not Implemented")),"Not Implemented","Partial")))))</f>
        <v>Implemented</v>
      </c>
      <c r="L15" s="12">
        <f>IF(COUNTA(F15:J15)=0,"",(COUNTIF(F15:J15,"Implemented")+COUNTIF(F15:J15,"Partial")+COUNTIF(F15:J15,"Not Implemented")))</f>
        <v>2</v>
      </c>
      <c r="M15" s="12">
        <f>IF(COUNTA(F15:J15)=0,"",COUNTIF(F15:J15,"??"))</f>
        <v>0</v>
      </c>
      <c r="N15" s="12">
        <f>IF(COUNTA(F15:J15)=0,"",COUNTIF(F15:J15,"Partial")+COUNTIF(F15:J15,"Not Implemented"))</f>
        <v>0</v>
      </c>
      <c r="O15" s="14" t="s">
        <v>499</v>
      </c>
      <c r="P15" s="14" t="s">
        <v>500</v>
      </c>
      <c r="Q15" s="15" t="s">
        <v>742</v>
      </c>
      <c r="R15" s="15" t="s">
        <v>743</v>
      </c>
      <c r="S15" s="15" t="s">
        <v>745</v>
      </c>
      <c r="T15" s="15" t="s">
        <v>744</v>
      </c>
      <c r="U15" s="15"/>
      <c r="V15" s="14" t="s">
        <v>501</v>
      </c>
      <c r="W15" s="16"/>
    </row>
    <row r="16" spans="1:23" ht="80" x14ac:dyDescent="0.2">
      <c r="A16" s="11" t="s">
        <v>83</v>
      </c>
      <c r="B16" s="12" t="str">
        <f>IF(A16="","",IFERROR(INDEX('Asset Register'!$B:$B,MATCH(A16,'Asset Register'!$A:$A,0)),""))</f>
        <v>A-F07</v>
      </c>
      <c r="C16" s="13" t="str">
        <f>IF(A16="","",IFERROR(INDEX('Asset Register'!$E:$E,MATCH(A16,'Asset Register'!$A:$A,0)),""))</f>
        <v>Bank-integrated transfer service</v>
      </c>
      <c r="D16" s="12" t="str">
        <f>IF(A16="","",IFERROR(INDEX('Asset Register'!$D:$D,MATCH(A16,'Asset Register'!$A:$A,0)),""))</f>
        <v>Financial</v>
      </c>
      <c r="E16" s="12" t="str">
        <f>IF(A16="","",IFERROR(INDEX('Asset Register'!$J:$J,MATCH(A16,'Asset Register'!$A:$A,0)),""))</f>
        <v>High</v>
      </c>
      <c r="F16" s="11" t="s">
        <v>29</v>
      </c>
      <c r="G16" s="11" t="s">
        <v>29</v>
      </c>
      <c r="H16" s="11" t="s">
        <v>572</v>
      </c>
      <c r="I16" s="11" t="s">
        <v>572</v>
      </c>
      <c r="J16" s="11" t="s">
        <v>29</v>
      </c>
      <c r="K16" s="12" t="str">
        <f>IF(COUNTA(F16:J16)=0,"",IF((COUNTIF(F16:J16,"Implemented")+COUNTIF(F16:J16,"Partial")+COUNTIF(F16:J16,"Not Implemented"))+COUNTIF(F16:J16,"??")=0,"N/A",IF((COUNTIF(F16:J16,"Implemented")+COUNTIF(F16:J16,"Partial")+COUNTIF(F16:J16,"Not Implemented"))=0,"??",IF(COUNTIF(F16:J16,"Implemented")=(COUNTIF(F16:J16,"Implemented")+COUNTIF(F16:J16,"Partial")+COUNTIF(F16:J16,"Not Implemented")),"Implemented",IF(COUNTIF(F16:J16,"Not Implemented")=(COUNTIF(F16:J16,"Implemented")+COUNTIF(F16:J16,"Partial")+COUNTIF(F16:J16,"Not Implemented")),"Not Implemented","Partial")))))</f>
        <v>Implemented</v>
      </c>
      <c r="L16" s="12">
        <f>IF(COUNTA(F16:J16)=0,"",(COUNTIF(F16:J16,"Implemented")+COUNTIF(F16:J16,"Partial")+COUNTIF(F16:J16,"Not Implemented")))</f>
        <v>2</v>
      </c>
      <c r="M16" s="12">
        <f>IF(COUNTA(F16:J16)=0,"",COUNTIF(F16:J16,"??"))</f>
        <v>0</v>
      </c>
      <c r="N16" s="12">
        <f>IF(COUNTA(F16:J16)=0,"",COUNTIF(F16:J16,"Partial")+COUNTIF(F16:J16,"Not Implemented"))</f>
        <v>0</v>
      </c>
      <c r="O16" s="14" t="s">
        <v>502</v>
      </c>
      <c r="P16" s="14" t="s">
        <v>503</v>
      </c>
      <c r="Q16" s="15" t="s">
        <v>749</v>
      </c>
      <c r="R16" s="15" t="s">
        <v>750</v>
      </c>
      <c r="S16" s="15" t="s">
        <v>751</v>
      </c>
      <c r="T16" s="15" t="s">
        <v>752</v>
      </c>
      <c r="U16" s="15"/>
      <c r="V16" s="14"/>
      <c r="W16" s="16"/>
    </row>
    <row r="17" spans="1:23" ht="96" x14ac:dyDescent="0.2">
      <c r="A17" s="11" t="s">
        <v>84</v>
      </c>
      <c r="B17" s="12" t="str">
        <f>IF(A17="","",IFERROR(INDEX('Asset Register'!$B:$B,MATCH(A17,'Asset Register'!$A:$A,0)),""))</f>
        <v>A-I01</v>
      </c>
      <c r="C17" s="13" t="str">
        <f>IF(A17="","",IFERROR(INDEX('Asset Register'!$E:$E,MATCH(A17,'Asset Register'!$A:$A,0)),""))</f>
        <v>Gmail (primary)</v>
      </c>
      <c r="D17" s="12" t="str">
        <f>IF(A17="","",IFERROR(INDEX('Asset Register'!$D:$D,MATCH(A17,'Asset Register'!$A:$A,0)),""))</f>
        <v>Identity &amp; Email</v>
      </c>
      <c r="E17" s="12" t="str">
        <f>IF(A17="","",IFERROR(INDEX('Asset Register'!$J:$J,MATCH(A17,'Asset Register'!$A:$A,0)),""))</f>
        <v>Critical</v>
      </c>
      <c r="F17" s="11" t="s">
        <v>29</v>
      </c>
      <c r="G17" s="11" t="s">
        <v>29</v>
      </c>
      <c r="H17" s="11" t="s">
        <v>55</v>
      </c>
      <c r="I17" s="11" t="s">
        <v>29</v>
      </c>
      <c r="J17" s="11" t="s">
        <v>29</v>
      </c>
      <c r="K17" s="12" t="str">
        <f>IF(COUNTA(F17:J17)=0,"",IF((COUNTIF(F17:J17,"Implemented")+COUNTIF(F17:J17,"Partial")+COUNTIF(F17:J17,"Not Implemented"))+COUNTIF(F17:J17,"??")=0,"N/A",IF((COUNTIF(F17:J17,"Implemented")+COUNTIF(F17:J17,"Partial")+COUNTIF(F17:J17,"Not Implemented"))=0,"??",IF(COUNTIF(F17:J17,"Implemented")=(COUNTIF(F17:J17,"Implemented")+COUNTIF(F17:J17,"Partial")+COUNTIF(F17:J17,"Not Implemented")),"Implemented",IF(COUNTIF(F17:J17,"Not Implemented")=(COUNTIF(F17:J17,"Implemented")+COUNTIF(F17:J17,"Partial")+COUNTIF(F17:J17,"Not Implemented")),"Not Implemented","Partial")))))</f>
        <v>Partial</v>
      </c>
      <c r="L17" s="12">
        <f>IF(COUNTA(F17:J17)=0,"",(COUNTIF(F17:J17,"Implemented")+COUNTIF(F17:J17,"Partial")+COUNTIF(F17:J17,"Not Implemented")))</f>
        <v>1</v>
      </c>
      <c r="M17" s="12">
        <f>IF(COUNTA(F17:J17)=0,"",COUNTIF(F17:J17,"??"))</f>
        <v>0</v>
      </c>
      <c r="N17" s="12">
        <f>IF(COUNTA(F17:J17)=0,"",COUNTIF(F17:J17,"Partial")+COUNTIF(F17:J17,"Not Implemented"))</f>
        <v>1</v>
      </c>
      <c r="O17" s="14" t="s">
        <v>504</v>
      </c>
      <c r="P17" s="14" t="s">
        <v>505</v>
      </c>
      <c r="Q17" s="15" t="s">
        <v>506</v>
      </c>
      <c r="R17" s="15" t="s">
        <v>507</v>
      </c>
      <c r="S17" s="15" t="s">
        <v>508</v>
      </c>
      <c r="T17" s="15" t="s">
        <v>509</v>
      </c>
      <c r="U17" s="15"/>
      <c r="V17" s="14" t="s">
        <v>510</v>
      </c>
      <c r="W17" s="16" t="s">
        <v>511</v>
      </c>
    </row>
    <row r="18" spans="1:23" ht="80" x14ac:dyDescent="0.2">
      <c r="A18" s="11" t="s">
        <v>92</v>
      </c>
      <c r="B18" s="12" t="str">
        <f>IF(A18="","",IFERROR(INDEX('Asset Register'!$B:$B,MATCH(A18,'Asset Register'!$A:$A,0)),""))</f>
        <v>A-I02</v>
      </c>
      <c r="C18" s="13" t="str">
        <f>IF(A18="","",IFERROR(INDEX('Asset Register'!$E:$E,MATCH(A18,'Asset Register'!$A:$A,0)),""))</f>
        <v>Gmail (secondary)</v>
      </c>
      <c r="D18" s="12" t="str">
        <f>IF(A18="","",IFERROR(INDEX('Asset Register'!$D:$D,MATCH(A18,'Asset Register'!$A:$A,0)),""))</f>
        <v>Identity &amp; Email</v>
      </c>
      <c r="E18" s="12" t="str">
        <f>IF(A18="","",IFERROR(INDEX('Asset Register'!$J:$J,MATCH(A18,'Asset Register'!$A:$A,0)),""))</f>
        <v>High</v>
      </c>
      <c r="F18" s="11" t="s">
        <v>29</v>
      </c>
      <c r="G18" s="11" t="s">
        <v>29</v>
      </c>
      <c r="H18" s="11" t="s">
        <v>55</v>
      </c>
      <c r="I18" s="11" t="s">
        <v>29</v>
      </c>
      <c r="J18" s="11" t="s">
        <v>29</v>
      </c>
      <c r="K18" s="12" t="str">
        <f>IF(COUNTA(F18:J18)=0,"",IF((COUNTIF(F18:J18,"Implemented")+COUNTIF(F18:J18,"Partial")+COUNTIF(F18:J18,"Not Implemented"))+COUNTIF(F18:J18,"??")=0,"N/A",IF((COUNTIF(F18:J18,"Implemented")+COUNTIF(F18:J18,"Partial")+COUNTIF(F18:J18,"Not Implemented"))=0,"??",IF(COUNTIF(F18:J18,"Implemented")=(COUNTIF(F18:J18,"Implemented")+COUNTIF(F18:J18,"Partial")+COUNTIF(F18:J18,"Not Implemented")),"Implemented",IF(COUNTIF(F18:J18,"Not Implemented")=(COUNTIF(F18:J18,"Implemented")+COUNTIF(F18:J18,"Partial")+COUNTIF(F18:J18,"Not Implemented")),"Not Implemented","Partial")))))</f>
        <v>Partial</v>
      </c>
      <c r="L18" s="12">
        <f>IF(COUNTA(F18:J18)=0,"",(COUNTIF(F18:J18,"Implemented")+COUNTIF(F18:J18,"Partial")+COUNTIF(F18:J18,"Not Implemented")))</f>
        <v>1</v>
      </c>
      <c r="M18" s="12">
        <f>IF(COUNTA(F18:J18)=0,"",COUNTIF(F18:J18,"??"))</f>
        <v>0</v>
      </c>
      <c r="N18" s="12">
        <f>IF(COUNTA(F18:J18)=0,"",COUNTIF(F18:J18,"Partial")+COUNTIF(F18:J18,"Not Implemented"))</f>
        <v>1</v>
      </c>
      <c r="O18" s="14" t="s">
        <v>512</v>
      </c>
      <c r="P18" s="14" t="s">
        <v>513</v>
      </c>
      <c r="Q18" s="15" t="s">
        <v>506</v>
      </c>
      <c r="R18" s="15" t="s">
        <v>507</v>
      </c>
      <c r="S18" s="15" t="s">
        <v>508</v>
      </c>
      <c r="T18" s="15" t="s">
        <v>509</v>
      </c>
      <c r="U18" s="15"/>
      <c r="V18" s="14" t="s">
        <v>514</v>
      </c>
      <c r="W18" s="16"/>
    </row>
    <row r="19" spans="1:23" ht="112" x14ac:dyDescent="0.2">
      <c r="A19" s="11" t="s">
        <v>96</v>
      </c>
      <c r="B19" s="12" t="str">
        <f>IF(A19="","",IFERROR(INDEX('Asset Register'!$B:$B,MATCH(A19,'Asset Register'!$A:$A,0)),""))</f>
        <v>A-I03</v>
      </c>
      <c r="C19" s="13" t="str">
        <f>IF(A19="","",IFERROR(INDEX('Asset Register'!$E:$E,MATCH(A19,'Asset Register'!$A:$A,0)),""))</f>
        <v>College email</v>
      </c>
      <c r="D19" s="12" t="str">
        <f>IF(A19="","",IFERROR(INDEX('Asset Register'!$D:$D,MATCH(A19,'Asset Register'!$A:$A,0)),""))</f>
        <v>Identity &amp; Email</v>
      </c>
      <c r="E19" s="12" t="str">
        <f>IF(A19="","",IFERROR(INDEX('Asset Register'!$J:$J,MATCH(A19,'Asset Register'!$A:$A,0)),""))</f>
        <v>High</v>
      </c>
      <c r="F19" s="11" t="s">
        <v>29</v>
      </c>
      <c r="G19" s="11" t="s">
        <v>29</v>
      </c>
      <c r="H19" s="11" t="s">
        <v>55</v>
      </c>
      <c r="I19" s="11" t="s">
        <v>29</v>
      </c>
      <c r="J19" s="11" t="s">
        <v>29</v>
      </c>
      <c r="K19" s="12" t="str">
        <f>IF(COUNTA(F19:J19)=0,"",IF((COUNTIF(F19:J19,"Implemented")+COUNTIF(F19:J19,"Partial")+COUNTIF(F19:J19,"Not Implemented"))+COUNTIF(F19:J19,"??")=0,"N/A",IF((COUNTIF(F19:J19,"Implemented")+COUNTIF(F19:J19,"Partial")+COUNTIF(F19:J19,"Not Implemented"))=0,"??",IF(COUNTIF(F19:J19,"Implemented")=(COUNTIF(F19:J19,"Implemented")+COUNTIF(F19:J19,"Partial")+COUNTIF(F19:J19,"Not Implemented")),"Implemented",IF(COUNTIF(F19:J19,"Not Implemented")=(COUNTIF(F19:J19,"Implemented")+COUNTIF(F19:J19,"Partial")+COUNTIF(F19:J19,"Not Implemented")),"Not Implemented","Partial")))))</f>
        <v>Partial</v>
      </c>
      <c r="L19" s="12">
        <f>IF(COUNTA(F19:J19)=0,"",(COUNTIF(F19:J19,"Implemented")+COUNTIF(F19:J19,"Partial")+COUNTIF(F19:J19,"Not Implemented")))</f>
        <v>1</v>
      </c>
      <c r="M19" s="12">
        <f>IF(COUNTA(F19:J19)=0,"",COUNTIF(F19:J19,"??"))</f>
        <v>0</v>
      </c>
      <c r="N19" s="12">
        <f>IF(COUNTA(F19:J19)=0,"",COUNTIF(F19:J19,"Partial")+COUNTIF(F19:J19,"Not Implemented"))</f>
        <v>1</v>
      </c>
      <c r="O19" s="14" t="s">
        <v>515</v>
      </c>
      <c r="P19" s="14" t="s">
        <v>516</v>
      </c>
      <c r="Q19" s="15" t="s">
        <v>757</v>
      </c>
      <c r="R19" s="15" t="s">
        <v>758</v>
      </c>
      <c r="S19" s="15" t="s">
        <v>759</v>
      </c>
      <c r="T19" s="15" t="s">
        <v>760</v>
      </c>
      <c r="U19" s="15"/>
      <c r="V19" s="14" t="s">
        <v>517</v>
      </c>
      <c r="W19" s="16"/>
    </row>
    <row r="20" spans="1:23" ht="96" x14ac:dyDescent="0.2">
      <c r="A20" s="11" t="s">
        <v>97</v>
      </c>
      <c r="B20" s="12" t="str">
        <f>IF(A20="","",IFERROR(INDEX('Asset Register'!$B:$B,MATCH(A20,'Asset Register'!$A:$A,0)),""))</f>
        <v>A-I04</v>
      </c>
      <c r="C20" s="13" t="str">
        <f>IF(A20="","",IFERROR(INDEX('Asset Register'!$E:$E,MATCH(A20,'Asset Register'!$A:$A,0)),""))</f>
        <v>Outlook account</v>
      </c>
      <c r="D20" s="12" t="str">
        <f>IF(A20="","",IFERROR(INDEX('Asset Register'!$D:$D,MATCH(A20,'Asset Register'!$A:$A,0)),""))</f>
        <v>Identity &amp; Email</v>
      </c>
      <c r="E20" s="12" t="str">
        <f>IF(A20="","",IFERROR(INDEX('Asset Register'!$J:$J,MATCH(A20,'Asset Register'!$A:$A,0)),""))</f>
        <v>Medium</v>
      </c>
      <c r="F20" s="11" t="s">
        <v>29</v>
      </c>
      <c r="G20" s="11" t="s">
        <v>29</v>
      </c>
      <c r="H20" s="11" t="s">
        <v>573</v>
      </c>
      <c r="I20" s="11" t="s">
        <v>29</v>
      </c>
      <c r="J20" s="11" t="s">
        <v>29</v>
      </c>
      <c r="K20" s="12" t="str">
        <f>IF(COUNTA(F20:J20)=0,"",IF((COUNTIF(F20:J20,"Implemented")+COUNTIF(F20:J20,"Partial")+COUNTIF(F20:J20,"Not Implemented"))+COUNTIF(F20:J20,"??")=0,"N/A",IF((COUNTIF(F20:J20,"Implemented")+COUNTIF(F20:J20,"Partial")+COUNTIF(F20:J20,"Not Implemented"))=0,"??",IF(COUNTIF(F20:J20,"Implemented")=(COUNTIF(F20:J20,"Implemented")+COUNTIF(F20:J20,"Partial")+COUNTIF(F20:J20,"Not Implemented")),"Implemented",IF(COUNTIF(F20:J20,"Not Implemented")=(COUNTIF(F20:J20,"Implemented")+COUNTIF(F20:J20,"Partial")+COUNTIF(F20:J20,"Not Implemented")),"Not Implemented","Partial")))))</f>
        <v>Not Implemented</v>
      </c>
      <c r="L20" s="12">
        <f>IF(COUNTA(F20:J20)=0,"",(COUNTIF(F20:J20,"Implemented")+COUNTIF(F20:J20,"Partial")+COUNTIF(F20:J20,"Not Implemented")))</f>
        <v>1</v>
      </c>
      <c r="M20" s="12">
        <f>IF(COUNTA(F20:J20)=0,"",COUNTIF(F20:J20,"??"))</f>
        <v>0</v>
      </c>
      <c r="N20" s="12">
        <f>IF(COUNTA(F20:J20)=0,"",COUNTIF(F20:J20,"Partial")+COUNTIF(F20:J20,"Not Implemented"))</f>
        <v>1</v>
      </c>
      <c r="O20" s="14" t="s">
        <v>518</v>
      </c>
      <c r="P20" s="14" t="s">
        <v>519</v>
      </c>
      <c r="Q20" s="15" t="s">
        <v>763</v>
      </c>
      <c r="R20" s="15" t="s">
        <v>764</v>
      </c>
      <c r="S20" s="15" t="s">
        <v>765</v>
      </c>
      <c r="T20" s="15" t="s">
        <v>766</v>
      </c>
      <c r="U20" s="15"/>
      <c r="V20" s="14"/>
      <c r="W20" s="16"/>
    </row>
    <row r="21" spans="1:23" ht="112" x14ac:dyDescent="0.2">
      <c r="A21" s="11" t="s">
        <v>98</v>
      </c>
      <c r="B21" s="12" t="str">
        <f>IF(A21="","",IFERROR(INDEX('Asset Register'!$B:$B,MATCH(A21,'Asset Register'!$A:$A,0)),""))</f>
        <v>A-I05</v>
      </c>
      <c r="C21" s="13" t="str">
        <f>IF(A21="","",IFERROR(INDEX('Asset Register'!$E:$E,MATCH(A21,'Asset Register'!$A:$A,0)),""))</f>
        <v>Apple ID</v>
      </c>
      <c r="D21" s="12" t="str">
        <f>IF(A21="","",IFERROR(INDEX('Asset Register'!$D:$D,MATCH(A21,'Asset Register'!$A:$A,0)),""))</f>
        <v>Identity &amp; Email</v>
      </c>
      <c r="E21" s="12" t="str">
        <f>IF(A21="","",IFERROR(INDEX('Asset Register'!$J:$J,MATCH(A21,'Asset Register'!$A:$A,0)),""))</f>
        <v>Critical</v>
      </c>
      <c r="F21" s="11" t="s">
        <v>29</v>
      </c>
      <c r="G21" s="11" t="s">
        <v>29</v>
      </c>
      <c r="H21" s="11" t="s">
        <v>572</v>
      </c>
      <c r="I21" s="11" t="s">
        <v>29</v>
      </c>
      <c r="J21" s="11" t="s">
        <v>29</v>
      </c>
      <c r="K21" s="12" t="str">
        <f>IF(COUNTA(F21:J21)=0,"",IF((COUNTIF(F21:J21,"Implemented")+COUNTIF(F21:J21,"Partial")+COUNTIF(F21:J21,"Not Implemented"))+COUNTIF(F21:J21,"??")=0,"N/A",IF((COUNTIF(F21:J21,"Implemented")+COUNTIF(F21:J21,"Partial")+COUNTIF(F21:J21,"Not Implemented"))=0,"??",IF(COUNTIF(F21:J21,"Implemented")=(COUNTIF(F21:J21,"Implemented")+COUNTIF(F21:J21,"Partial")+COUNTIF(F21:J21,"Not Implemented")),"Implemented",IF(COUNTIF(F21:J21,"Not Implemented")=(COUNTIF(F21:J21,"Implemented")+COUNTIF(F21:J21,"Partial")+COUNTIF(F21:J21,"Not Implemented")),"Not Implemented","Partial")))))</f>
        <v>Implemented</v>
      </c>
      <c r="L21" s="12">
        <f>IF(COUNTA(F21:J21)=0,"",(COUNTIF(F21:J21,"Implemented")+COUNTIF(F21:J21,"Partial")+COUNTIF(F21:J21,"Not Implemented")))</f>
        <v>1</v>
      </c>
      <c r="M21" s="12">
        <f>IF(COUNTA(F21:J21)=0,"",COUNTIF(F21:J21,"??"))</f>
        <v>0</v>
      </c>
      <c r="N21" s="12">
        <f>IF(COUNTA(F21:J21)=0,"",COUNTIF(F21:J21,"Partial")+COUNTIF(F21:J21,"Not Implemented"))</f>
        <v>0</v>
      </c>
      <c r="O21" s="14" t="s">
        <v>520</v>
      </c>
      <c r="P21" s="14" t="s">
        <v>521</v>
      </c>
      <c r="Q21" s="15" t="s">
        <v>522</v>
      </c>
      <c r="R21" s="15" t="s">
        <v>523</v>
      </c>
      <c r="S21" s="15" t="s">
        <v>524</v>
      </c>
      <c r="T21" s="15" t="s">
        <v>525</v>
      </c>
      <c r="U21" s="15" t="s">
        <v>105</v>
      </c>
      <c r="V21" s="14" t="s">
        <v>526</v>
      </c>
      <c r="W21" s="16" t="s">
        <v>527</v>
      </c>
    </row>
    <row r="22" spans="1:23" ht="80" x14ac:dyDescent="0.2">
      <c r="A22" s="11" t="s">
        <v>108</v>
      </c>
      <c r="B22" s="12" t="str">
        <f>IF(A22="","",IFERROR(INDEX('Asset Register'!$B:$B,MATCH(A22,'Asset Register'!$A:$A,0)),""))</f>
        <v>A-I06</v>
      </c>
      <c r="C22" s="13" t="str">
        <f>IF(A22="","",IFERROR(INDEX('Asset Register'!$E:$E,MATCH(A22,'Asset Register'!$A:$A,0)),""))</f>
        <v>Google Account</v>
      </c>
      <c r="D22" s="12" t="str">
        <f>IF(A22="","",IFERROR(INDEX('Asset Register'!$D:$D,MATCH(A22,'Asset Register'!$A:$A,0)),""))</f>
        <v>Identity &amp; Email</v>
      </c>
      <c r="E22" s="12" t="str">
        <f>IF(A22="","",IFERROR(INDEX('Asset Register'!$J:$J,MATCH(A22,'Asset Register'!$A:$A,0)),""))</f>
        <v>Critical</v>
      </c>
      <c r="F22" s="11" t="s">
        <v>29</v>
      </c>
      <c r="G22" s="11" t="s">
        <v>29</v>
      </c>
      <c r="H22" s="11" t="s">
        <v>55</v>
      </c>
      <c r="I22" s="11" t="s">
        <v>29</v>
      </c>
      <c r="J22" s="11" t="s">
        <v>29</v>
      </c>
      <c r="K22" s="12" t="str">
        <f>IF(COUNTA(F22:J22)=0,"",IF((COUNTIF(F22:J22,"Implemented")+COUNTIF(F22:J22,"Partial")+COUNTIF(F22:J22,"Not Implemented"))+COUNTIF(F22:J22,"??")=0,"N/A",IF((COUNTIF(F22:J22,"Implemented")+COUNTIF(F22:J22,"Partial")+COUNTIF(F22:J22,"Not Implemented"))=0,"??",IF(COUNTIF(F22:J22,"Implemented")=(COUNTIF(F22:J22,"Implemented")+COUNTIF(F22:J22,"Partial")+COUNTIF(F22:J22,"Not Implemented")),"Implemented",IF(COUNTIF(F22:J22,"Not Implemented")=(COUNTIF(F22:J22,"Implemented")+COUNTIF(F22:J22,"Partial")+COUNTIF(F22:J22,"Not Implemented")),"Not Implemented","Partial")))))</f>
        <v>Partial</v>
      </c>
      <c r="L22" s="12">
        <f>IF(COUNTA(F22:J22)=0,"",(COUNTIF(F22:J22,"Implemented")+COUNTIF(F22:J22,"Partial")+COUNTIF(F22:J22,"Not Implemented")))</f>
        <v>1</v>
      </c>
      <c r="M22" s="12">
        <f>IF(COUNTA(F22:J22)=0,"",COUNTIF(F22:J22,"??"))</f>
        <v>0</v>
      </c>
      <c r="N22" s="12">
        <f>IF(COUNTA(F22:J22)=0,"",COUNTIF(F22:J22,"Partial")+COUNTIF(F22:J22,"Not Implemented"))</f>
        <v>1</v>
      </c>
      <c r="O22" s="14" t="s">
        <v>528</v>
      </c>
      <c r="P22" s="14" t="s">
        <v>529</v>
      </c>
      <c r="Q22" s="15" t="s">
        <v>530</v>
      </c>
      <c r="R22" s="15" t="s">
        <v>531</v>
      </c>
      <c r="S22" s="15" t="s">
        <v>532</v>
      </c>
      <c r="T22" s="15" t="s">
        <v>533</v>
      </c>
      <c r="U22" s="15"/>
      <c r="V22" s="14" t="s">
        <v>534</v>
      </c>
      <c r="W22" s="16"/>
    </row>
    <row r="23" spans="1:23" ht="96" x14ac:dyDescent="0.2">
      <c r="A23" s="11" t="s">
        <v>117</v>
      </c>
      <c r="B23" s="12" t="str">
        <f>IF(A23="","",IFERROR(INDEX('Asset Register'!$B:$B,MATCH(A23,'Asset Register'!$A:$A,0)),""))</f>
        <v>A-I07</v>
      </c>
      <c r="C23" s="13" t="str">
        <f>IF(A23="","",IFERROR(INDEX('Asset Register'!$E:$E,MATCH(A23,'Asset Register'!$A:$A,0)),""))</f>
        <v>Microsoft 365 (institution-provided)</v>
      </c>
      <c r="D23" s="12" t="str">
        <f>IF(A23="","",IFERROR(INDEX('Asset Register'!$D:$D,MATCH(A23,'Asset Register'!$A:$A,0)),""))</f>
        <v>Identity &amp; Email</v>
      </c>
      <c r="E23" s="12" t="str">
        <f>IF(A23="","",IFERROR(INDEX('Asset Register'!$J:$J,MATCH(A23,'Asset Register'!$A:$A,0)),""))</f>
        <v>Medium</v>
      </c>
      <c r="F23" s="11" t="s">
        <v>29</v>
      </c>
      <c r="G23" s="11" t="s">
        <v>29</v>
      </c>
      <c r="H23" s="11" t="s">
        <v>573</v>
      </c>
      <c r="I23" s="11" t="s">
        <v>29</v>
      </c>
      <c r="J23" s="11" t="s">
        <v>29</v>
      </c>
      <c r="K23" s="12" t="str">
        <f>IF(COUNTA(F23:J23)=0,"",IF((COUNTIF(F23:J23,"Implemented")+COUNTIF(F23:J23,"Partial")+COUNTIF(F23:J23,"Not Implemented"))+COUNTIF(F23:J23,"??")=0,"N/A",IF((COUNTIF(F23:J23,"Implemented")+COUNTIF(F23:J23,"Partial")+COUNTIF(F23:J23,"Not Implemented"))=0,"??",IF(COUNTIF(F23:J23,"Implemented")=(COUNTIF(F23:J23,"Implemented")+COUNTIF(F23:J23,"Partial")+COUNTIF(F23:J23,"Not Implemented")),"Implemented",IF(COUNTIF(F23:J23,"Not Implemented")=(COUNTIF(F23:J23,"Implemented")+COUNTIF(F23:J23,"Partial")+COUNTIF(F23:J23,"Not Implemented")),"Not Implemented","Partial")))))</f>
        <v>Not Implemented</v>
      </c>
      <c r="L23" s="12">
        <f>IF(COUNTA(F23:J23)=0,"",(COUNTIF(F23:J23,"Implemented")+COUNTIF(F23:J23,"Partial")+COUNTIF(F23:J23,"Not Implemented")))</f>
        <v>1</v>
      </c>
      <c r="M23" s="12">
        <f>IF(COUNTA(F23:J23)=0,"",COUNTIF(F23:J23,"??"))</f>
        <v>0</v>
      </c>
      <c r="N23" s="12">
        <f>IF(COUNTA(F23:J23)=0,"",COUNTIF(F23:J23,"Partial")+COUNTIF(F23:J23,"Not Implemented"))</f>
        <v>1</v>
      </c>
      <c r="O23" s="14" t="s">
        <v>518</v>
      </c>
      <c r="P23" s="14" t="s">
        <v>519</v>
      </c>
      <c r="Q23" s="15" t="s">
        <v>771</v>
      </c>
      <c r="R23" s="15" t="s">
        <v>772</v>
      </c>
      <c r="S23" s="15" t="s">
        <v>773</v>
      </c>
      <c r="T23" s="15" t="s">
        <v>774</v>
      </c>
      <c r="U23" s="15"/>
      <c r="V23" s="14"/>
      <c r="W23" s="16"/>
    </row>
    <row r="24" spans="1:23" ht="48" x14ac:dyDescent="0.2">
      <c r="A24" s="11" t="s">
        <v>118</v>
      </c>
      <c r="B24" s="12" t="str">
        <f>IF(A24="","",IFERROR(INDEX('Asset Register'!$B:$B,MATCH(A24,'Asset Register'!$A:$A,0)),""))</f>
        <v>A-E01</v>
      </c>
      <c r="C24" s="13" t="str">
        <f>IF(A24="","",IFERROR(INDEX('Asset Register'!$E:$E,MATCH(A24,'Asset Register'!$A:$A,0)),""))</f>
        <v>College student portal</v>
      </c>
      <c r="D24" s="12" t="str">
        <f>IF(A24="","",IFERROR(INDEX('Asset Register'!$D:$D,MATCH(A24,'Asset Register'!$A:$A,0)),""))</f>
        <v>Education &amp; Learning</v>
      </c>
      <c r="E24" s="12" t="str">
        <f>IF(A24="","",IFERROR(INDEX('Asset Register'!$J:$J,MATCH(A24,'Asset Register'!$A:$A,0)),""))</f>
        <v>Critical</v>
      </c>
      <c r="F24" s="11" t="s">
        <v>29</v>
      </c>
      <c r="G24" s="11" t="s">
        <v>29</v>
      </c>
      <c r="H24" s="11" t="s">
        <v>572</v>
      </c>
      <c r="I24" s="11" t="s">
        <v>29</v>
      </c>
      <c r="J24" s="11" t="s">
        <v>29</v>
      </c>
      <c r="K24" s="12" t="str">
        <f>IF(COUNTA(F24:J24)=0,"",IF((COUNTIF(F24:J24,"Implemented")+COUNTIF(F24:J24,"Partial")+COUNTIF(F24:J24,"Not Implemented"))+COUNTIF(F24:J24,"??")=0,"N/A",IF((COUNTIF(F24:J24,"Implemented")+COUNTIF(F24:J24,"Partial")+COUNTIF(F24:J24,"Not Implemented"))=0,"??",IF(COUNTIF(F24:J24,"Implemented")=(COUNTIF(F24:J24,"Implemented")+COUNTIF(F24:J24,"Partial")+COUNTIF(F24:J24,"Not Implemented")),"Implemented",IF(COUNTIF(F24:J24,"Not Implemented")=(COUNTIF(F24:J24,"Implemented")+COUNTIF(F24:J24,"Partial")+COUNTIF(F24:J24,"Not Implemented")),"Not Implemented","Partial")))))</f>
        <v>Implemented</v>
      </c>
      <c r="L24" s="12">
        <f>IF(COUNTA(F24:J24)=0,"",(COUNTIF(F24:J24,"Implemented")+COUNTIF(F24:J24,"Partial")+COUNTIF(F24:J24,"Not Implemented")))</f>
        <v>1</v>
      </c>
      <c r="M24" s="12">
        <f>IF(COUNTA(F24:J24)=0,"",COUNTIF(F24:J24,"??"))</f>
        <v>0</v>
      </c>
      <c r="N24" s="12">
        <f>IF(COUNTA(F24:J24)=0,"",COUNTIF(F24:J24,"Partial")+COUNTIF(F24:J24,"Not Implemented"))</f>
        <v>0</v>
      </c>
      <c r="O24" s="14" t="s">
        <v>535</v>
      </c>
      <c r="P24" s="14" t="s">
        <v>536</v>
      </c>
      <c r="Q24" s="15" t="s">
        <v>779</v>
      </c>
      <c r="R24" s="15" t="s">
        <v>780</v>
      </c>
      <c r="S24" s="15" t="s">
        <v>781</v>
      </c>
      <c r="T24" s="15" t="s">
        <v>782</v>
      </c>
      <c r="U24" s="15"/>
      <c r="V24" s="14"/>
      <c r="W24" s="16"/>
    </row>
    <row r="25" spans="1:23" ht="64" x14ac:dyDescent="0.2">
      <c r="A25" s="11" t="s">
        <v>120</v>
      </c>
      <c r="B25" s="12" t="str">
        <f>IF(A25="","",IFERROR(INDEX('Asset Register'!$B:$B,MATCH(A25,'Asset Register'!$A:$A,0)),""))</f>
        <v>A-E02</v>
      </c>
      <c r="C25" s="13" t="str">
        <f>IF(A25="","",IFERROR(INDEX('Asset Register'!$E:$E,MATCH(A25,'Asset Register'!$A:$A,0)),""))</f>
        <v>Learning management system</v>
      </c>
      <c r="D25" s="12" t="str">
        <f>IF(A25="","",IFERROR(INDEX('Asset Register'!$D:$D,MATCH(A25,'Asset Register'!$A:$A,0)),""))</f>
        <v>Education &amp; Learning</v>
      </c>
      <c r="E25" s="12" t="str">
        <f>IF(A25="","",IFERROR(INDEX('Asset Register'!$J:$J,MATCH(A25,'Asset Register'!$A:$A,0)),""))</f>
        <v>High</v>
      </c>
      <c r="F25" s="11" t="s">
        <v>29</v>
      </c>
      <c r="G25" s="11" t="s">
        <v>29</v>
      </c>
      <c r="H25" s="11" t="s">
        <v>573</v>
      </c>
      <c r="I25" s="11" t="s">
        <v>29</v>
      </c>
      <c r="J25" s="11" t="s">
        <v>29</v>
      </c>
      <c r="K25" s="12" t="str">
        <f>IF(COUNTA(F25:J25)=0,"",IF((COUNTIF(F25:J25,"Implemented")+COUNTIF(F25:J25,"Partial")+COUNTIF(F25:J25,"Not Implemented"))+COUNTIF(F25:J25,"??")=0,"N/A",IF((COUNTIF(F25:J25,"Implemented")+COUNTIF(F25:J25,"Partial")+COUNTIF(F25:J25,"Not Implemented"))=0,"??",IF(COUNTIF(F25:J25,"Implemented")=(COUNTIF(F25:J25,"Implemented")+COUNTIF(F25:J25,"Partial")+COUNTIF(F25:J25,"Not Implemented")),"Implemented",IF(COUNTIF(F25:J25,"Not Implemented")=(COUNTIF(F25:J25,"Implemented")+COUNTIF(F25:J25,"Partial")+COUNTIF(F25:J25,"Not Implemented")),"Not Implemented","Partial")))))</f>
        <v>Not Implemented</v>
      </c>
      <c r="L25" s="12">
        <f>IF(COUNTA(F25:J25)=0,"",(COUNTIF(F25:J25,"Implemented")+COUNTIF(F25:J25,"Partial")+COUNTIF(F25:J25,"Not Implemented")))</f>
        <v>1</v>
      </c>
      <c r="M25" s="12">
        <f>IF(COUNTA(F25:J25)=0,"",COUNTIF(F25:J25,"??"))</f>
        <v>0</v>
      </c>
      <c r="N25" s="12">
        <f>IF(COUNTA(F25:J25)=0,"",COUNTIF(F25:J25,"Partial")+COUNTIF(F25:J25,"Not Implemented"))</f>
        <v>1</v>
      </c>
      <c r="O25" s="14" t="s">
        <v>535</v>
      </c>
      <c r="P25" s="14" t="s">
        <v>536</v>
      </c>
      <c r="Q25" s="15" t="s">
        <v>787</v>
      </c>
      <c r="R25" s="15" t="s">
        <v>788</v>
      </c>
      <c r="S25" s="15" t="s">
        <v>789</v>
      </c>
      <c r="T25" s="15" t="s">
        <v>790</v>
      </c>
      <c r="U25" s="15"/>
      <c r="V25" s="14"/>
      <c r="W25" s="16"/>
    </row>
    <row r="26" spans="1:23" ht="48" x14ac:dyDescent="0.2">
      <c r="A26" s="11" t="s">
        <v>121</v>
      </c>
      <c r="B26" s="12" t="str">
        <f>IF(A26="","",IFERROR(INDEX('Asset Register'!$B:$B,MATCH(A26,'Asset Register'!$A:$A,0)),""))</f>
        <v>A-E03</v>
      </c>
      <c r="C26" s="13" t="str">
        <f>IF(A26="","",IFERROR(INDEX('Asset Register'!$E:$E,MATCH(A26,'Asset Register'!$A:$A,0)),""))</f>
        <v>English proficiency test account</v>
      </c>
      <c r="D26" s="12" t="str">
        <f>IF(A26="","",IFERROR(INDEX('Asset Register'!$D:$D,MATCH(A26,'Asset Register'!$A:$A,0)),""))</f>
        <v>Education &amp; Learning</v>
      </c>
      <c r="E26" s="12" t="str">
        <f>IF(A26="","",IFERROR(INDEX('Asset Register'!$J:$J,MATCH(A26,'Asset Register'!$A:$A,0)),""))</f>
        <v>Medium</v>
      </c>
      <c r="F26" s="11" t="s">
        <v>29</v>
      </c>
      <c r="G26" s="11" t="s">
        <v>29</v>
      </c>
      <c r="H26" s="11" t="s">
        <v>573</v>
      </c>
      <c r="I26" s="11" t="s">
        <v>29</v>
      </c>
      <c r="J26" s="11" t="s">
        <v>29</v>
      </c>
      <c r="K26" s="12" t="str">
        <f>IF(COUNTA(F26:J26)=0,"",IF((COUNTIF(F26:J26,"Implemented")+COUNTIF(F26:J26,"Partial")+COUNTIF(F26:J26,"Not Implemented"))+COUNTIF(F26:J26,"??")=0,"N/A",IF((COUNTIF(F26:J26,"Implemented")+COUNTIF(F26:J26,"Partial")+COUNTIF(F26:J26,"Not Implemented"))=0,"??",IF(COUNTIF(F26:J26,"Implemented")=(COUNTIF(F26:J26,"Implemented")+COUNTIF(F26:J26,"Partial")+COUNTIF(F26:J26,"Not Implemented")),"Implemented",IF(COUNTIF(F26:J26,"Not Implemented")=(COUNTIF(F26:J26,"Implemented")+COUNTIF(F26:J26,"Partial")+COUNTIF(F26:J26,"Not Implemented")),"Not Implemented","Partial")))))</f>
        <v>Not Implemented</v>
      </c>
      <c r="L26" s="12">
        <f>IF(COUNTA(F26:J26)=0,"",(COUNTIF(F26:J26,"Implemented")+COUNTIF(F26:J26,"Partial")+COUNTIF(F26:J26,"Not Implemented")))</f>
        <v>1</v>
      </c>
      <c r="M26" s="12">
        <f>IF(COUNTA(F26:J26)=0,"",COUNTIF(F26:J26,"??"))</f>
        <v>0</v>
      </c>
      <c r="N26" s="12">
        <f>IF(COUNTA(F26:J26)=0,"",COUNTIF(F26:J26,"Partial")+COUNTIF(F26:J26,"Not Implemented"))</f>
        <v>1</v>
      </c>
      <c r="O26" s="14" t="s">
        <v>535</v>
      </c>
      <c r="P26" s="14" t="s">
        <v>536</v>
      </c>
      <c r="Q26" s="15" t="s">
        <v>795</v>
      </c>
      <c r="R26" s="15" t="s">
        <v>788</v>
      </c>
      <c r="S26" s="15" t="s">
        <v>796</v>
      </c>
      <c r="T26" s="15" t="s">
        <v>797</v>
      </c>
      <c r="U26" s="15"/>
      <c r="V26" s="14"/>
      <c r="W26" s="16"/>
    </row>
    <row r="27" spans="1:23" ht="48" x14ac:dyDescent="0.2">
      <c r="A27" s="11" t="s">
        <v>122</v>
      </c>
      <c r="B27" s="12" t="str">
        <f>IF(A27="","",IFERROR(INDEX('Asset Register'!$B:$B,MATCH(A27,'Asset Register'!$A:$A,0)),""))</f>
        <v>A-E04</v>
      </c>
      <c r="C27" s="13" t="str">
        <f>IF(A27="","",IFERROR(INDEX('Asset Register'!$E:$E,MATCH(A27,'Asset Register'!$A:$A,0)),""))</f>
        <v>Programming learning platform</v>
      </c>
      <c r="D27" s="12" t="str">
        <f>IF(A27="","",IFERROR(INDEX('Asset Register'!$D:$D,MATCH(A27,'Asset Register'!$A:$A,0)),""))</f>
        <v>Education &amp; Learning</v>
      </c>
      <c r="E27" s="12" t="str">
        <f>IF(A27="","",IFERROR(INDEX('Asset Register'!$J:$J,MATCH(A27,'Asset Register'!$A:$A,0)),""))</f>
        <v>Low</v>
      </c>
      <c r="F27" s="11" t="s">
        <v>29</v>
      </c>
      <c r="G27" s="11" t="s">
        <v>29</v>
      </c>
      <c r="H27" s="11" t="s">
        <v>55</v>
      </c>
      <c r="I27" s="11" t="s">
        <v>29</v>
      </c>
      <c r="J27" s="11" t="s">
        <v>29</v>
      </c>
      <c r="K27" s="12" t="str">
        <f>IF(COUNTA(F27:J27)=0,"",IF((COUNTIF(F27:J27,"Implemented")+COUNTIF(F27:J27,"Partial")+COUNTIF(F27:J27,"Not Implemented"))+COUNTIF(F27:J27,"??")=0,"N/A",IF((COUNTIF(F27:J27,"Implemented")+COUNTIF(F27:J27,"Partial")+COUNTIF(F27:J27,"Not Implemented"))=0,"??",IF(COUNTIF(F27:J27,"Implemented")=(COUNTIF(F27:J27,"Implemented")+COUNTIF(F27:J27,"Partial")+COUNTIF(F27:J27,"Not Implemented")),"Implemented",IF(COUNTIF(F27:J27,"Not Implemented")=(COUNTIF(F27:J27,"Implemented")+COUNTIF(F27:J27,"Partial")+COUNTIF(F27:J27,"Not Implemented")),"Not Implemented","Partial")))))</f>
        <v>Partial</v>
      </c>
      <c r="L27" s="12">
        <f>IF(COUNTA(F27:J27)=0,"",(COUNTIF(F27:J27,"Implemented")+COUNTIF(F27:J27,"Partial")+COUNTIF(F27:J27,"Not Implemented")))</f>
        <v>1</v>
      </c>
      <c r="M27" s="12">
        <f>IF(COUNTA(F27:J27)=0,"",COUNTIF(F27:J27,"??"))</f>
        <v>0</v>
      </c>
      <c r="N27" s="12">
        <f>IF(COUNTA(F27:J27)=0,"",COUNTIF(F27:J27,"Partial")+COUNTIF(F27:J27,"Not Implemented"))</f>
        <v>1</v>
      </c>
      <c r="O27" s="14" t="s">
        <v>535</v>
      </c>
      <c r="P27" s="14" t="s">
        <v>536</v>
      </c>
      <c r="Q27" s="15" t="s">
        <v>800</v>
      </c>
      <c r="R27" s="15" t="s">
        <v>801</v>
      </c>
      <c r="S27" s="15" t="s">
        <v>802</v>
      </c>
      <c r="T27" s="15" t="s">
        <v>803</v>
      </c>
      <c r="U27" s="15"/>
      <c r="V27" s="14"/>
      <c r="W27" s="16"/>
    </row>
    <row r="28" spans="1:23" ht="48" x14ac:dyDescent="0.2">
      <c r="A28" s="11" t="s">
        <v>123</v>
      </c>
      <c r="B28" s="12" t="str">
        <f>IF(A28="","",IFERROR(INDEX('Asset Register'!$B:$B,MATCH(A28,'Asset Register'!$A:$A,0)),""))</f>
        <v>A-E05</v>
      </c>
      <c r="C28" s="13" t="str">
        <f>IF(A28="","",IFERROR(INDEX('Asset Register'!$E:$E,MATCH(A28,'Asset Register'!$A:$A,0)),""))</f>
        <v>TryHackMe</v>
      </c>
      <c r="D28" s="12" t="str">
        <f>IF(A28="","",IFERROR(INDEX('Asset Register'!$D:$D,MATCH(A28,'Asset Register'!$A:$A,0)),""))</f>
        <v>Education &amp; Learning</v>
      </c>
      <c r="E28" s="12" t="str">
        <f>IF(A28="","",IFERROR(INDEX('Asset Register'!$J:$J,MATCH(A28,'Asset Register'!$A:$A,0)),""))</f>
        <v>Low</v>
      </c>
      <c r="F28" s="11" t="s">
        <v>29</v>
      </c>
      <c r="G28" s="11" t="s">
        <v>29</v>
      </c>
      <c r="H28" s="11" t="s">
        <v>573</v>
      </c>
      <c r="I28" s="11" t="s">
        <v>29</v>
      </c>
      <c r="J28" s="11" t="s">
        <v>29</v>
      </c>
      <c r="K28" s="12" t="str">
        <f>IF(COUNTA(F28:J28)=0,"",IF((COUNTIF(F28:J28,"Implemented")+COUNTIF(F28:J28,"Partial")+COUNTIF(F28:J28,"Not Implemented"))+COUNTIF(F28:J28,"??")=0,"N/A",IF((COUNTIF(F28:J28,"Implemented")+COUNTIF(F28:J28,"Partial")+COUNTIF(F28:J28,"Not Implemented"))=0,"??",IF(COUNTIF(F28:J28,"Implemented")=(COUNTIF(F28:J28,"Implemented")+COUNTIF(F28:J28,"Partial")+COUNTIF(F28:J28,"Not Implemented")),"Implemented",IF(COUNTIF(F28:J28,"Not Implemented")=(COUNTIF(F28:J28,"Implemented")+COUNTIF(F28:J28,"Partial")+COUNTIF(F28:J28,"Not Implemented")),"Not Implemented","Partial")))))</f>
        <v>Not Implemented</v>
      </c>
      <c r="L28" s="12">
        <f>IF(COUNTA(F28:J28)=0,"",(COUNTIF(F28:J28,"Implemented")+COUNTIF(F28:J28,"Partial")+COUNTIF(F28:J28,"Not Implemented")))</f>
        <v>1</v>
      </c>
      <c r="M28" s="12">
        <f>IF(COUNTA(F28:J28)=0,"",COUNTIF(F28:J28,"??"))</f>
        <v>0</v>
      </c>
      <c r="N28" s="12">
        <f>IF(COUNTA(F28:J28)=0,"",COUNTIF(F28:J28,"Partial")+COUNTIF(F28:J28,"Not Implemented"))</f>
        <v>1</v>
      </c>
      <c r="O28" s="14" t="s">
        <v>535</v>
      </c>
      <c r="P28" s="14" t="s">
        <v>536</v>
      </c>
      <c r="Q28" s="15" t="s">
        <v>807</v>
      </c>
      <c r="R28" s="15" t="s">
        <v>788</v>
      </c>
      <c r="S28" s="15" t="s">
        <v>808</v>
      </c>
      <c r="T28" s="15" t="s">
        <v>809</v>
      </c>
      <c r="U28" s="15"/>
      <c r="V28" s="14"/>
      <c r="W28" s="16"/>
    </row>
    <row r="29" spans="1:23" ht="48" x14ac:dyDescent="0.2">
      <c r="A29" s="11" t="s">
        <v>124</v>
      </c>
      <c r="B29" s="12" t="str">
        <f>IF(A29="","",IFERROR(INDEX('Asset Register'!$B:$B,MATCH(A29,'Asset Register'!$A:$A,0)),""))</f>
        <v>A-E06</v>
      </c>
      <c r="C29" s="13" t="str">
        <f>IF(A29="","",IFERROR(INDEX('Asset Register'!$E:$E,MATCH(A29,'Asset Register'!$A:$A,0)),""))</f>
        <v>Language learning app</v>
      </c>
      <c r="D29" s="12" t="str">
        <f>IF(A29="","",IFERROR(INDEX('Asset Register'!$D:$D,MATCH(A29,'Asset Register'!$A:$A,0)),""))</f>
        <v>Education &amp; Learning</v>
      </c>
      <c r="E29" s="12" t="str">
        <f>IF(A29="","",IFERROR(INDEX('Asset Register'!$J:$J,MATCH(A29,'Asset Register'!$A:$A,0)),""))</f>
        <v>Low</v>
      </c>
      <c r="F29" s="11" t="s">
        <v>29</v>
      </c>
      <c r="G29" s="11" t="s">
        <v>29</v>
      </c>
      <c r="H29" s="11" t="s">
        <v>55</v>
      </c>
      <c r="I29" s="11" t="s">
        <v>29</v>
      </c>
      <c r="J29" s="11" t="s">
        <v>29</v>
      </c>
      <c r="K29" s="12" t="str">
        <f>IF(COUNTA(F29:J29)=0,"",IF((COUNTIF(F29:J29,"Implemented")+COUNTIF(F29:J29,"Partial")+COUNTIF(F29:J29,"Not Implemented"))+COUNTIF(F29:J29,"??")=0,"N/A",IF((COUNTIF(F29:J29,"Implemented")+COUNTIF(F29:J29,"Partial")+COUNTIF(F29:J29,"Not Implemented"))=0,"??",IF(COUNTIF(F29:J29,"Implemented")=(COUNTIF(F29:J29,"Implemented")+COUNTIF(F29:J29,"Partial")+COUNTIF(F29:J29,"Not Implemented")),"Implemented",IF(COUNTIF(F29:J29,"Not Implemented")=(COUNTIF(F29:J29,"Implemented")+COUNTIF(F29:J29,"Partial")+COUNTIF(F29:J29,"Not Implemented")),"Not Implemented","Partial")))))</f>
        <v>Partial</v>
      </c>
      <c r="L29" s="12">
        <f>IF(COUNTA(F29:J29)=0,"",(COUNTIF(F29:J29,"Implemented")+COUNTIF(F29:J29,"Partial")+COUNTIF(F29:J29,"Not Implemented")))</f>
        <v>1</v>
      </c>
      <c r="M29" s="12">
        <f>IF(COUNTA(F29:J29)=0,"",COUNTIF(F29:J29,"??"))</f>
        <v>0</v>
      </c>
      <c r="N29" s="12">
        <f>IF(COUNTA(F29:J29)=0,"",COUNTIF(F29:J29,"Partial")+COUNTIF(F29:J29,"Not Implemented"))</f>
        <v>1</v>
      </c>
      <c r="O29" s="14" t="s">
        <v>535</v>
      </c>
      <c r="P29" s="14" t="s">
        <v>536</v>
      </c>
      <c r="Q29" s="15" t="s">
        <v>800</v>
      </c>
      <c r="R29" s="15" t="s">
        <v>788</v>
      </c>
      <c r="S29" s="15" t="s">
        <v>802</v>
      </c>
      <c r="T29" s="15" t="s">
        <v>803</v>
      </c>
      <c r="U29" s="15"/>
      <c r="V29" s="14"/>
      <c r="W29" s="16"/>
    </row>
    <row r="30" spans="1:23" ht="64" x14ac:dyDescent="0.2">
      <c r="A30" s="11" t="s">
        <v>125</v>
      </c>
      <c r="B30" s="12" t="str">
        <f>IF(A30="","",IFERROR(INDEX('Asset Register'!$B:$B,MATCH(A30,'Asset Register'!$A:$A,0)),""))</f>
        <v>A-E07</v>
      </c>
      <c r="C30" s="13" t="str">
        <f>IF(A30="","",IFERROR(INDEX('Asset Register'!$E:$E,MATCH(A30,'Asset Register'!$A:$A,0)),""))</f>
        <v>ChatGPT</v>
      </c>
      <c r="D30" s="12" t="str">
        <f>IF(A30="","",IFERROR(INDEX('Asset Register'!$D:$D,MATCH(A30,'Asset Register'!$A:$A,0)),""))</f>
        <v>Education &amp; Learning</v>
      </c>
      <c r="E30" s="12" t="str">
        <f>IF(A30="","",IFERROR(INDEX('Asset Register'!$J:$J,MATCH(A30,'Asset Register'!$A:$A,0)),""))</f>
        <v>Medium</v>
      </c>
      <c r="F30" s="11" t="s">
        <v>29</v>
      </c>
      <c r="G30" s="11" t="s">
        <v>29</v>
      </c>
      <c r="H30" s="11" t="s">
        <v>55</v>
      </c>
      <c r="I30" s="11" t="s">
        <v>29</v>
      </c>
      <c r="J30" s="11" t="s">
        <v>29</v>
      </c>
      <c r="K30" s="12" t="str">
        <f>IF(COUNTA(F30:J30)=0,"",IF((COUNTIF(F30:J30,"Implemented")+COUNTIF(F30:J30,"Partial")+COUNTIF(F30:J30,"Not Implemented"))+COUNTIF(F30:J30,"??")=0,"N/A",IF((COUNTIF(F30:J30,"Implemented")+COUNTIF(F30:J30,"Partial")+COUNTIF(F30:J30,"Not Implemented"))=0,"??",IF(COUNTIF(F30:J30,"Implemented")=(COUNTIF(F30:J30,"Implemented")+COUNTIF(F30:J30,"Partial")+COUNTIF(F30:J30,"Not Implemented")),"Implemented",IF(COUNTIF(F30:J30,"Not Implemented")=(COUNTIF(F30:J30,"Implemented")+COUNTIF(F30:J30,"Partial")+COUNTIF(F30:J30,"Not Implemented")),"Not Implemented","Partial")))))</f>
        <v>Partial</v>
      </c>
      <c r="L30" s="12">
        <f>IF(COUNTA(F30:J30)=0,"",(COUNTIF(F30:J30,"Implemented")+COUNTIF(F30:J30,"Partial")+COUNTIF(F30:J30,"Not Implemented")))</f>
        <v>1</v>
      </c>
      <c r="M30" s="12">
        <f>IF(COUNTA(F30:J30)=0,"",COUNTIF(F30:J30,"??"))</f>
        <v>0</v>
      </c>
      <c r="N30" s="12">
        <f>IF(COUNTA(F30:J30)=0,"",COUNTIF(F30:J30,"Partial")+COUNTIF(F30:J30,"Not Implemented"))</f>
        <v>1</v>
      </c>
      <c r="O30" s="14" t="s">
        <v>535</v>
      </c>
      <c r="P30" s="14" t="s">
        <v>536</v>
      </c>
      <c r="Q30" s="15" t="s">
        <v>818</v>
      </c>
      <c r="R30" s="15" t="s">
        <v>819</v>
      </c>
      <c r="S30" s="15" t="s">
        <v>802</v>
      </c>
      <c r="T30" s="15" t="s">
        <v>820</v>
      </c>
      <c r="U30" s="15"/>
      <c r="V30" s="14"/>
      <c r="W30" s="16"/>
    </row>
    <row r="31" spans="1:23" ht="48" x14ac:dyDescent="0.2">
      <c r="A31" s="11" t="s">
        <v>126</v>
      </c>
      <c r="B31" s="12" t="str">
        <f>IF(A31="","",IFERROR(INDEX('Asset Register'!$B:$B,MATCH(A31,'Asset Register'!$A:$A,0)),""))</f>
        <v>A-E08</v>
      </c>
      <c r="C31" s="13" t="str">
        <f>IF(A31="","",IFERROR(INDEX('Asset Register'!$E:$E,MATCH(A31,'Asset Register'!$A:$A,0)),""))</f>
        <v>Claude</v>
      </c>
      <c r="D31" s="12" t="str">
        <f>IF(A31="","",IFERROR(INDEX('Asset Register'!$D:$D,MATCH(A31,'Asset Register'!$A:$A,0)),""))</f>
        <v>Education &amp; Learning</v>
      </c>
      <c r="E31" s="12" t="str">
        <f>IF(A31="","",IFERROR(INDEX('Asset Register'!$J:$J,MATCH(A31,'Asset Register'!$A:$A,0)),""))</f>
        <v>Medium</v>
      </c>
      <c r="F31" s="11" t="s">
        <v>29</v>
      </c>
      <c r="G31" s="11" t="s">
        <v>29</v>
      </c>
      <c r="H31" s="11" t="s">
        <v>55</v>
      </c>
      <c r="I31" s="11" t="s">
        <v>29</v>
      </c>
      <c r="J31" s="11" t="s">
        <v>29</v>
      </c>
      <c r="K31" s="12" t="str">
        <f>IF(COUNTA(F31:J31)=0,"",IF((COUNTIF(F31:J31,"Implemented")+COUNTIF(F31:J31,"Partial")+COUNTIF(F31:J31,"Not Implemented"))+COUNTIF(F31:J31,"??")=0,"N/A",IF((COUNTIF(F31:J31,"Implemented")+COUNTIF(F31:J31,"Partial")+COUNTIF(F31:J31,"Not Implemented"))=0,"??",IF(COUNTIF(F31:J31,"Implemented")=(COUNTIF(F31:J31,"Implemented")+COUNTIF(F31:J31,"Partial")+COUNTIF(F31:J31,"Not Implemented")),"Implemented",IF(COUNTIF(F31:J31,"Not Implemented")=(COUNTIF(F31:J31,"Implemented")+COUNTIF(F31:J31,"Partial")+COUNTIF(F31:J31,"Not Implemented")),"Not Implemented","Partial")))))</f>
        <v>Partial</v>
      </c>
      <c r="L31" s="12">
        <f>IF(COUNTA(F31:J31)=0,"",(COUNTIF(F31:J31,"Implemented")+COUNTIF(F31:J31,"Partial")+COUNTIF(F31:J31,"Not Implemented")))</f>
        <v>1</v>
      </c>
      <c r="M31" s="12">
        <f>IF(COUNTA(F31:J31)=0,"",COUNTIF(F31:J31,"??"))</f>
        <v>0</v>
      </c>
      <c r="N31" s="12">
        <f>IF(COUNTA(F31:J31)=0,"",COUNTIF(F31:J31,"Partial")+COUNTIF(F31:J31,"Not Implemented"))</f>
        <v>1</v>
      </c>
      <c r="O31" s="14" t="s">
        <v>535</v>
      </c>
      <c r="P31" s="14" t="s">
        <v>536</v>
      </c>
      <c r="Q31" s="15" t="s">
        <v>821</v>
      </c>
      <c r="R31" s="15" t="s">
        <v>819</v>
      </c>
      <c r="S31" s="15" t="s">
        <v>802</v>
      </c>
      <c r="T31" s="15" t="s">
        <v>822</v>
      </c>
      <c r="U31" s="15"/>
      <c r="V31" s="14"/>
      <c r="W31" s="16"/>
    </row>
    <row r="32" spans="1:23" ht="64" x14ac:dyDescent="0.2">
      <c r="A32" s="11" t="s">
        <v>132</v>
      </c>
      <c r="B32" s="12" t="str">
        <f>IF(A32="","",IFERROR(INDEX('Asset Register'!$B:$B,MATCH(A32,'Asset Register'!$A:$A,0)),""))</f>
        <v>A-J04</v>
      </c>
      <c r="C32" s="13" t="str">
        <f>IF(A32="","",IFERROR(INDEX('Asset Register'!$E:$E,MATCH(A32,'Asset Register'!$A:$A,0)),""))</f>
        <v>Internship platform B</v>
      </c>
      <c r="D32" s="12" t="str">
        <f>IF(A32="","",IFERROR(INDEX('Asset Register'!$D:$D,MATCH(A32,'Asset Register'!$A:$A,0)),""))</f>
        <v>Job Hunting &amp; Professional</v>
      </c>
      <c r="E32" s="12" t="str">
        <f>IF(A32="","",IFERROR(INDEX('Asset Register'!$J:$J,MATCH(A32,'Asset Register'!$A:$A,0)),""))</f>
        <v>High</v>
      </c>
      <c r="F32" s="11" t="s">
        <v>29</v>
      </c>
      <c r="G32" s="11" t="s">
        <v>29</v>
      </c>
      <c r="H32" s="11" t="s">
        <v>55</v>
      </c>
      <c r="I32" s="11" t="s">
        <v>29</v>
      </c>
      <c r="J32" s="11" t="s">
        <v>29</v>
      </c>
      <c r="K32" s="12" t="str">
        <f>IF(COUNTA(F32:J32)=0,"",IF((COUNTIF(F32:J32,"Implemented")+COUNTIF(F32:J32,"Partial")+COUNTIF(F32:J32,"Not Implemented"))+COUNTIF(F32:J32,"??")=0,"N/A",IF((COUNTIF(F32:J32,"Implemented")+COUNTIF(F32:J32,"Partial")+COUNTIF(F32:J32,"Not Implemented"))=0,"??",IF(COUNTIF(F32:J32,"Implemented")=(COUNTIF(F32:J32,"Implemented")+COUNTIF(F32:J32,"Partial")+COUNTIF(F32:J32,"Not Implemented")),"Implemented",IF(COUNTIF(F32:J32,"Not Implemented")=(COUNTIF(F32:J32,"Implemented")+COUNTIF(F32:J32,"Partial")+COUNTIF(F32:J32,"Not Implemented")),"Not Implemented","Partial")))))</f>
        <v>Partial</v>
      </c>
      <c r="L32" s="12">
        <f>IF(COUNTA(F32:J32)=0,"",(COUNTIF(F32:J32,"Implemented")+COUNTIF(F32:J32,"Partial")+COUNTIF(F32:J32,"Not Implemented")))</f>
        <v>1</v>
      </c>
      <c r="M32" s="12">
        <f>IF(COUNTA(F32:J32)=0,"",COUNTIF(F32:J32,"??"))</f>
        <v>0</v>
      </c>
      <c r="N32" s="12">
        <f>IF(COUNTA(F32:J32)=0,"",COUNTIF(F32:J32,"Partial")+COUNTIF(F32:J32,"Not Implemented"))</f>
        <v>1</v>
      </c>
      <c r="O32" s="14" t="s">
        <v>535</v>
      </c>
      <c r="P32" s="14" t="s">
        <v>536</v>
      </c>
      <c r="Q32" s="15" t="s">
        <v>830</v>
      </c>
      <c r="R32" s="15" t="s">
        <v>831</v>
      </c>
      <c r="S32" s="15" t="s">
        <v>802</v>
      </c>
      <c r="T32" s="15" t="s">
        <v>803</v>
      </c>
      <c r="U32" s="15"/>
      <c r="V32" s="14"/>
      <c r="W32" s="16"/>
    </row>
    <row r="33" spans="1:23" ht="64" x14ac:dyDescent="0.2">
      <c r="A33" s="11" t="s">
        <v>133</v>
      </c>
      <c r="B33" s="12" t="str">
        <f>IF(A33="","",IFERROR(INDEX('Asset Register'!$B:$B,MATCH(A33,'Asset Register'!$A:$A,0)),""))</f>
        <v>A-J05</v>
      </c>
      <c r="C33" s="13" t="str">
        <f>IF(A33="","",IFERROR(INDEX('Asset Register'!$E:$E,MATCH(A33,'Asset Register'!$A:$A,0)),""))</f>
        <v>LinkedIn</v>
      </c>
      <c r="D33" s="12" t="str">
        <f>IF(A33="","",IFERROR(INDEX('Asset Register'!$D:$D,MATCH(A33,'Asset Register'!$A:$A,0)),""))</f>
        <v>Job Hunting &amp; Professional</v>
      </c>
      <c r="E33" s="12" t="str">
        <f>IF(A33="","",IFERROR(INDEX('Asset Register'!$J:$J,MATCH(A33,'Asset Register'!$A:$A,0)),""))</f>
        <v>Critical</v>
      </c>
      <c r="F33" s="11" t="s">
        <v>29</v>
      </c>
      <c r="G33" s="11" t="s">
        <v>29</v>
      </c>
      <c r="H33" s="11" t="s">
        <v>55</v>
      </c>
      <c r="I33" s="11" t="s">
        <v>29</v>
      </c>
      <c r="J33" s="11" t="s">
        <v>29</v>
      </c>
      <c r="K33" s="12" t="str">
        <f>IF(COUNTA(F33:J33)=0,"",IF((COUNTIF(F33:J33,"Implemented")+COUNTIF(F33:J33,"Partial")+COUNTIF(F33:J33,"Not Implemented"))+COUNTIF(F33:J33,"??")=0,"N/A",IF((COUNTIF(F33:J33,"Implemented")+COUNTIF(F33:J33,"Partial")+COUNTIF(F33:J33,"Not Implemented"))=0,"??",IF(COUNTIF(F33:J33,"Implemented")=(COUNTIF(F33:J33,"Implemented")+COUNTIF(F33:J33,"Partial")+COUNTIF(F33:J33,"Not Implemented")),"Implemented",IF(COUNTIF(F33:J33,"Not Implemented")=(COUNTIF(F33:J33,"Implemented")+COUNTIF(F33:J33,"Partial")+COUNTIF(F33:J33,"Not Implemented")),"Not Implemented","Partial")))))</f>
        <v>Partial</v>
      </c>
      <c r="L33" s="12">
        <f>IF(COUNTA(F33:J33)=0,"",(COUNTIF(F33:J33,"Implemented")+COUNTIF(F33:J33,"Partial")+COUNTIF(F33:J33,"Not Implemented")))</f>
        <v>1</v>
      </c>
      <c r="M33" s="12">
        <f>IF(COUNTA(F33:J33)=0,"",COUNTIF(F33:J33,"??"))</f>
        <v>0</v>
      </c>
      <c r="N33" s="12">
        <f>IF(COUNTA(F33:J33)=0,"",COUNTIF(F33:J33,"Partial")+COUNTIF(F33:J33,"Not Implemented"))</f>
        <v>1</v>
      </c>
      <c r="O33" s="14" t="s">
        <v>537</v>
      </c>
      <c r="P33" s="14" t="s">
        <v>536</v>
      </c>
      <c r="Q33" s="15" t="s">
        <v>836</v>
      </c>
      <c r="R33" s="15" t="s">
        <v>837</v>
      </c>
      <c r="S33" s="15" t="s">
        <v>838</v>
      </c>
      <c r="T33" s="15" t="s">
        <v>839</v>
      </c>
      <c r="U33" s="15"/>
      <c r="V33" s="14" t="s">
        <v>538</v>
      </c>
      <c r="W33" s="16"/>
    </row>
    <row r="34" spans="1:23" ht="80" x14ac:dyDescent="0.2">
      <c r="A34" s="11" t="s">
        <v>137</v>
      </c>
      <c r="B34" s="12" t="str">
        <f>IF(A34="","",IFERROR(INDEX('Asset Register'!$B:$B,MATCH(A34,'Asset Register'!$A:$A,0)),""))</f>
        <v>A-J06</v>
      </c>
      <c r="C34" s="13" t="str">
        <f>IF(A34="","",IFERROR(INDEX('Asset Register'!$E:$E,MATCH(A34,'Asset Register'!$A:$A,0)),""))</f>
        <v>GitHub</v>
      </c>
      <c r="D34" s="12" t="str">
        <f>IF(A34="","",IFERROR(INDEX('Asset Register'!$D:$D,MATCH(A34,'Asset Register'!$A:$A,0)),""))</f>
        <v>Job Hunting &amp; Professional</v>
      </c>
      <c r="E34" s="12" t="str">
        <f>IF(A34="","",IFERROR(INDEX('Asset Register'!$J:$J,MATCH(A34,'Asset Register'!$A:$A,0)),""))</f>
        <v>Critical</v>
      </c>
      <c r="F34" s="11" t="s">
        <v>29</v>
      </c>
      <c r="G34" s="11" t="s">
        <v>29</v>
      </c>
      <c r="H34" s="11" t="s">
        <v>573</v>
      </c>
      <c r="I34" s="11" t="s">
        <v>29</v>
      </c>
      <c r="J34" s="11" t="s">
        <v>30</v>
      </c>
      <c r="K34" s="12" t="str">
        <f>IF(COUNTA(F34:J34)=0,"",IF((COUNTIF(F34:J34,"Implemented")+COUNTIF(F34:J34,"Partial")+COUNTIF(F34:J34,"Not Implemented"))+COUNTIF(F34:J34,"??")=0,"N/A",IF((COUNTIF(F34:J34,"Implemented")+COUNTIF(F34:J34,"Partial")+COUNTIF(F34:J34,"Not Implemented"))=0,"??",IF(COUNTIF(F34:J34,"Implemented")=(COUNTIF(F34:J34,"Implemented")+COUNTIF(F34:J34,"Partial")+COUNTIF(F34:J34,"Not Implemented")),"Implemented",IF(COUNTIF(F34:J34,"Not Implemented")=(COUNTIF(F34:J34,"Implemented")+COUNTIF(F34:J34,"Partial")+COUNTIF(F34:J34,"Not Implemented")),"Not Implemented","Partial")))))</f>
        <v>Not Implemented</v>
      </c>
      <c r="L34" s="12">
        <f>IF(COUNTA(F34:J34)=0,"",(COUNTIF(F34:J34,"Implemented")+COUNTIF(F34:J34,"Partial")+COUNTIF(F34:J34,"Not Implemented")))</f>
        <v>1</v>
      </c>
      <c r="M34" s="12">
        <f>IF(COUNTA(F34:J34)=0,"",COUNTIF(F34:J34,"??"))</f>
        <v>1</v>
      </c>
      <c r="N34" s="12">
        <f>IF(COUNTA(F34:J34)=0,"",COUNTIF(F34:J34,"Partial")+COUNTIF(F34:J34,"Not Implemented"))</f>
        <v>1</v>
      </c>
      <c r="O34" s="14" t="s">
        <v>539</v>
      </c>
      <c r="P34" s="14" t="s">
        <v>540</v>
      </c>
      <c r="Q34" s="15" t="s">
        <v>844</v>
      </c>
      <c r="R34" s="15" t="s">
        <v>845</v>
      </c>
      <c r="S34" s="15" t="s">
        <v>846</v>
      </c>
      <c r="T34" s="15" t="s">
        <v>847</v>
      </c>
      <c r="U34" s="15"/>
      <c r="V34" s="14" t="s">
        <v>541</v>
      </c>
      <c r="W34" s="16"/>
    </row>
    <row r="35" spans="1:23" ht="48" x14ac:dyDescent="0.2">
      <c r="A35" s="11" t="s">
        <v>141</v>
      </c>
      <c r="B35" s="12" t="str">
        <f>IF(A35="","",IFERROR(INDEX('Asset Register'!$B:$B,MATCH(A35,'Asset Register'!$A:$A,0)),""))</f>
        <v>A-J07</v>
      </c>
      <c r="C35" s="13" t="str">
        <f>IF(A35="","",IFERROR(INDEX('Asset Register'!$E:$E,MATCH(A35,'Asset Register'!$A:$A,0)),""))</f>
        <v>Zoom</v>
      </c>
      <c r="D35" s="12" t="str">
        <f>IF(A35="","",IFERROR(INDEX('Asset Register'!$D:$D,MATCH(A35,'Asset Register'!$A:$A,0)),""))</f>
        <v>Job Hunting &amp; Professional</v>
      </c>
      <c r="E35" s="12" t="str">
        <f>IF(A35="","",IFERROR(INDEX('Asset Register'!$J:$J,MATCH(A35,'Asset Register'!$A:$A,0)),""))</f>
        <v>Medium</v>
      </c>
      <c r="F35" s="11" t="s">
        <v>29</v>
      </c>
      <c r="G35" s="11" t="s">
        <v>29</v>
      </c>
      <c r="H35" s="11" t="s">
        <v>55</v>
      </c>
      <c r="I35" s="11" t="s">
        <v>29</v>
      </c>
      <c r="J35" s="11" t="s">
        <v>29</v>
      </c>
      <c r="K35" s="12" t="str">
        <f>IF(COUNTA(F35:J35)=0,"",IF((COUNTIF(F35:J35,"Implemented")+COUNTIF(F35:J35,"Partial")+COUNTIF(F35:J35,"Not Implemented"))+COUNTIF(F35:J35,"??")=0,"N/A",IF((COUNTIF(F35:J35,"Implemented")+COUNTIF(F35:J35,"Partial")+COUNTIF(F35:J35,"Not Implemented"))=0,"??",IF(COUNTIF(F35:J35,"Implemented")=(COUNTIF(F35:J35,"Implemented")+COUNTIF(F35:J35,"Partial")+COUNTIF(F35:J35,"Not Implemented")),"Implemented",IF(COUNTIF(F35:J35,"Not Implemented")=(COUNTIF(F35:J35,"Implemented")+COUNTIF(F35:J35,"Partial")+COUNTIF(F35:J35,"Not Implemented")),"Not Implemented","Partial")))))</f>
        <v>Partial</v>
      </c>
      <c r="L35" s="12">
        <f>IF(COUNTA(F35:J35)=0,"",(COUNTIF(F35:J35,"Implemented")+COUNTIF(F35:J35,"Partial")+COUNTIF(F35:J35,"Not Implemented")))</f>
        <v>1</v>
      </c>
      <c r="M35" s="12">
        <f>IF(COUNTA(F35:J35)=0,"",COUNTIF(F35:J35,"??"))</f>
        <v>0</v>
      </c>
      <c r="N35" s="12">
        <f>IF(COUNTA(F35:J35)=0,"",COUNTIF(F35:J35,"Partial")+COUNTIF(F35:J35,"Not Implemented"))</f>
        <v>1</v>
      </c>
      <c r="O35" s="14" t="s">
        <v>535</v>
      </c>
      <c r="P35" s="14" t="s">
        <v>536</v>
      </c>
      <c r="Q35" s="15" t="s">
        <v>852</v>
      </c>
      <c r="R35" s="15" t="s">
        <v>853</v>
      </c>
      <c r="S35" s="15" t="s">
        <v>802</v>
      </c>
      <c r="T35" s="15" t="s">
        <v>854</v>
      </c>
      <c r="U35" s="15"/>
      <c r="V35" s="14"/>
      <c r="W35" s="16"/>
    </row>
    <row r="36" spans="1:23" ht="48" x14ac:dyDescent="0.2">
      <c r="A36" s="11" t="s">
        <v>143</v>
      </c>
      <c r="B36" s="12" t="str">
        <f>IF(A36="","",IFERROR(INDEX('Asset Register'!$B:$B,MATCH(A36,'Asset Register'!$A:$A,0)),""))</f>
        <v>A-S02</v>
      </c>
      <c r="C36" s="13" t="str">
        <f>IF(A36="","",IFERROR(INDEX('Asset Register'!$E:$E,MATCH(A36,'Asset Register'!$A:$A,0)),""))</f>
        <v>Instagram</v>
      </c>
      <c r="D36" s="12" t="str">
        <f>IF(A36="","",IFERROR(INDEX('Asset Register'!$D:$D,MATCH(A36,'Asset Register'!$A:$A,0)),""))</f>
        <v>Social Media</v>
      </c>
      <c r="E36" s="12" t="str">
        <f>IF(A36="","",IFERROR(INDEX('Asset Register'!$J:$J,MATCH(A36,'Asset Register'!$A:$A,0)),""))</f>
        <v>Medium</v>
      </c>
      <c r="F36" s="11" t="s">
        <v>29</v>
      </c>
      <c r="G36" s="11" t="s">
        <v>29</v>
      </c>
      <c r="H36" s="11" t="s">
        <v>573</v>
      </c>
      <c r="I36" s="11" t="s">
        <v>29</v>
      </c>
      <c r="J36" s="11" t="s">
        <v>29</v>
      </c>
      <c r="K36" s="12" t="str">
        <f>IF(COUNTA(F36:J36)=0,"",IF((COUNTIF(F36:J36,"Implemented")+COUNTIF(F36:J36,"Partial")+COUNTIF(F36:J36,"Not Implemented"))+COUNTIF(F36:J36,"??")=0,"N/A",IF((COUNTIF(F36:J36,"Implemented")+COUNTIF(F36:J36,"Partial")+COUNTIF(F36:J36,"Not Implemented"))=0,"??",IF(COUNTIF(F36:J36,"Implemented")=(COUNTIF(F36:J36,"Implemented")+COUNTIF(F36:J36,"Partial")+COUNTIF(F36:J36,"Not Implemented")),"Implemented",IF(COUNTIF(F36:J36,"Not Implemented")=(COUNTIF(F36:J36,"Implemented")+COUNTIF(F36:J36,"Partial")+COUNTIF(F36:J36,"Not Implemented")),"Not Implemented","Partial")))))</f>
        <v>Not Implemented</v>
      </c>
      <c r="L36" s="12">
        <f>IF(COUNTA(F36:J36)=0,"",(COUNTIF(F36:J36,"Implemented")+COUNTIF(F36:J36,"Partial")+COUNTIF(F36:J36,"Not Implemented")))</f>
        <v>1</v>
      </c>
      <c r="M36" s="12">
        <f>IF(COUNTA(F36:J36)=0,"",COUNTIF(F36:J36,"??"))</f>
        <v>0</v>
      </c>
      <c r="N36" s="12">
        <f>IF(COUNTA(F36:J36)=0,"",COUNTIF(F36:J36,"Partial")+COUNTIF(F36:J36,"Not Implemented"))</f>
        <v>1</v>
      </c>
      <c r="O36" s="14" t="s">
        <v>535</v>
      </c>
      <c r="P36" s="14" t="s">
        <v>536</v>
      </c>
      <c r="Q36" s="15" t="s">
        <v>859</v>
      </c>
      <c r="R36" s="15" t="s">
        <v>788</v>
      </c>
      <c r="S36" s="15" t="s">
        <v>860</v>
      </c>
      <c r="T36" s="15" t="s">
        <v>861</v>
      </c>
      <c r="U36" s="15"/>
      <c r="V36" s="14"/>
      <c r="W36" s="16"/>
    </row>
    <row r="37" spans="1:23" ht="64" x14ac:dyDescent="0.2">
      <c r="A37" s="11" t="s">
        <v>145</v>
      </c>
      <c r="B37" s="12" t="str">
        <f>IF(A37="","",IFERROR(INDEX('Asset Register'!$B:$B,MATCH(A37,'Asset Register'!$A:$A,0)),""))</f>
        <v>A-S04</v>
      </c>
      <c r="C37" s="13" t="str">
        <f>IF(A37="","",IFERROR(INDEX('Asset Register'!$E:$E,MATCH(A37,'Asset Register'!$A:$A,0)),""))</f>
        <v>LINE</v>
      </c>
      <c r="D37" s="12" t="str">
        <f>IF(A37="","",IFERROR(INDEX('Asset Register'!$D:$D,MATCH(A37,'Asset Register'!$A:$A,0)),""))</f>
        <v>Social Media</v>
      </c>
      <c r="E37" s="12" t="str">
        <f>IF(A37="","",IFERROR(INDEX('Asset Register'!$J:$J,MATCH(A37,'Asset Register'!$A:$A,0)),""))</f>
        <v>High</v>
      </c>
      <c r="F37" s="11" t="s">
        <v>29</v>
      </c>
      <c r="G37" s="11" t="s">
        <v>29</v>
      </c>
      <c r="H37" s="11" t="s">
        <v>573</v>
      </c>
      <c r="I37" s="11" t="s">
        <v>29</v>
      </c>
      <c r="J37" s="11" t="s">
        <v>29</v>
      </c>
      <c r="K37" s="12" t="str">
        <f>IF(COUNTA(F37:J37)=0,"",IF((COUNTIF(F37:J37,"Implemented")+COUNTIF(F37:J37,"Partial")+COUNTIF(F37:J37,"Not Implemented"))+COUNTIF(F37:J37,"??")=0,"N/A",IF((COUNTIF(F37:J37,"Implemented")+COUNTIF(F37:J37,"Partial")+COUNTIF(F37:J37,"Not Implemented"))=0,"??",IF(COUNTIF(F37:J37,"Implemented")=(COUNTIF(F37:J37,"Implemented")+COUNTIF(F37:J37,"Partial")+COUNTIF(F37:J37,"Not Implemented")),"Implemented",IF(COUNTIF(F37:J37,"Not Implemented")=(COUNTIF(F37:J37,"Implemented")+COUNTIF(F37:J37,"Partial")+COUNTIF(F37:J37,"Not Implemented")),"Not Implemented","Partial")))))</f>
        <v>Not Implemented</v>
      </c>
      <c r="L37" s="12">
        <f>IF(COUNTA(F37:J37)=0,"",(COUNTIF(F37:J37,"Implemented")+COUNTIF(F37:J37,"Partial")+COUNTIF(F37:J37,"Not Implemented")))</f>
        <v>1</v>
      </c>
      <c r="M37" s="12">
        <f>IF(COUNTA(F37:J37)=0,"",COUNTIF(F37:J37,"??"))</f>
        <v>0</v>
      </c>
      <c r="N37" s="12">
        <f>IF(COUNTA(F37:J37)=0,"",COUNTIF(F37:J37,"Partial")+COUNTIF(F37:J37,"Not Implemented"))</f>
        <v>1</v>
      </c>
      <c r="O37" s="14" t="s">
        <v>542</v>
      </c>
      <c r="P37" s="14" t="s">
        <v>543</v>
      </c>
      <c r="Q37" s="15" t="s">
        <v>862</v>
      </c>
      <c r="R37" s="15" t="s">
        <v>863</v>
      </c>
      <c r="S37" s="15" t="s">
        <v>864</v>
      </c>
      <c r="T37" s="15" t="s">
        <v>865</v>
      </c>
      <c r="U37" s="15"/>
      <c r="V37" s="14" t="s">
        <v>544</v>
      </c>
      <c r="W37" s="16"/>
    </row>
    <row r="38" spans="1:23" ht="64" x14ac:dyDescent="0.2">
      <c r="A38" s="11" t="s">
        <v>149</v>
      </c>
      <c r="B38" s="12" t="str">
        <f>IF(A38="","",IFERROR(INDEX('Asset Register'!$B:$B,MATCH(A38,'Asset Register'!$A:$A,0)),""))</f>
        <v>A-S06</v>
      </c>
      <c r="C38" s="13" t="str">
        <f>IF(A38="","",IFERROR(INDEX('Asset Register'!$E:$E,MATCH(A38,'Asset Register'!$A:$A,0)),""))</f>
        <v>YouTube</v>
      </c>
      <c r="D38" s="12" t="str">
        <f>IF(A38="","",IFERROR(INDEX('Asset Register'!$D:$D,MATCH(A38,'Asset Register'!$A:$A,0)),""))</f>
        <v>Social Media</v>
      </c>
      <c r="E38" s="12" t="str">
        <f>IF(A38="","",IFERROR(INDEX('Asset Register'!$J:$J,MATCH(A38,'Asset Register'!$A:$A,0)),""))</f>
        <v>Low</v>
      </c>
      <c r="F38" s="11" t="s">
        <v>29</v>
      </c>
      <c r="G38" s="11" t="s">
        <v>29</v>
      </c>
      <c r="H38" s="11" t="s">
        <v>55</v>
      </c>
      <c r="I38" s="11" t="s">
        <v>29</v>
      </c>
      <c r="J38" s="11" t="s">
        <v>29</v>
      </c>
      <c r="K38" s="12" t="str">
        <f>IF(COUNTA(F38:J38)=0,"",IF((COUNTIF(F38:J38,"Implemented")+COUNTIF(F38:J38,"Partial")+COUNTIF(F38:J38,"Not Implemented"))+COUNTIF(F38:J38,"??")=0,"N/A",IF((COUNTIF(F38:J38,"Implemented")+COUNTIF(F38:J38,"Partial")+COUNTIF(F38:J38,"Not Implemented"))=0,"??",IF(COUNTIF(F38:J38,"Implemented")=(COUNTIF(F38:J38,"Implemented")+COUNTIF(F38:J38,"Partial")+COUNTIF(F38:J38,"Not Implemented")),"Implemented",IF(COUNTIF(F38:J38,"Not Implemented")=(COUNTIF(F38:J38,"Implemented")+COUNTIF(F38:J38,"Partial")+COUNTIF(F38:J38,"Not Implemented")),"Not Implemented","Partial")))))</f>
        <v>Partial</v>
      </c>
      <c r="L38" s="12">
        <f>IF(COUNTA(F38:J38)=0,"",(COUNTIF(F38:J38,"Implemented")+COUNTIF(F38:J38,"Partial")+COUNTIF(F38:J38,"Not Implemented")))</f>
        <v>1</v>
      </c>
      <c r="M38" s="12">
        <f>IF(COUNTA(F38:J38)=0,"",COUNTIF(F38:J38,"??"))</f>
        <v>0</v>
      </c>
      <c r="N38" s="12">
        <f>IF(COUNTA(F38:J38)=0,"",COUNTIF(F38:J38,"Partial")+COUNTIF(F38:J38,"Not Implemented"))</f>
        <v>1</v>
      </c>
      <c r="O38" s="14" t="s">
        <v>545</v>
      </c>
      <c r="P38" s="14" t="s">
        <v>546</v>
      </c>
      <c r="Q38" s="15" t="s">
        <v>874</v>
      </c>
      <c r="R38" s="15" t="s">
        <v>875</v>
      </c>
      <c r="S38" s="15" t="s">
        <v>876</v>
      </c>
      <c r="T38" s="15" t="s">
        <v>877</v>
      </c>
      <c r="U38" s="15"/>
      <c r="V38" s="14"/>
      <c r="W38" s="16"/>
    </row>
    <row r="39" spans="1:23" ht="96" x14ac:dyDescent="0.2">
      <c r="A39" s="11" t="s">
        <v>152</v>
      </c>
      <c r="B39" s="12" t="str">
        <f>IF(A39="","",IFERROR(INDEX('Asset Register'!$B:$B,MATCH(A39,'Asset Register'!$A:$A,0)),""))</f>
        <v>A-U01</v>
      </c>
      <c r="C39" s="13" t="str">
        <f>IF(A39="","",IFERROR(INDEX('Asset Register'!$E:$E,MATCH(A39,'Asset Register'!$A:$A,0)),""))</f>
        <v>Mobile carrier account</v>
      </c>
      <c r="D39" s="12" t="str">
        <f>IF(A39="","",IFERROR(INDEX('Asset Register'!$D:$D,MATCH(A39,'Asset Register'!$A:$A,0)),""))</f>
        <v>Utilities &amp; Life Services</v>
      </c>
      <c r="E39" s="12" t="str">
        <f>IF(A39="","",IFERROR(INDEX('Asset Register'!$J:$J,MATCH(A39,'Asset Register'!$A:$A,0)),""))</f>
        <v>Critical</v>
      </c>
      <c r="F39" s="11" t="s">
        <v>29</v>
      </c>
      <c r="G39" s="11" t="s">
        <v>29</v>
      </c>
      <c r="H39" s="11" t="s">
        <v>573</v>
      </c>
      <c r="I39" s="11" t="s">
        <v>55</v>
      </c>
      <c r="J39" s="11" t="s">
        <v>29</v>
      </c>
      <c r="K39" s="12" t="str">
        <f>IF(COUNTA(F39:J39)=0,"",IF((COUNTIF(F39:J39,"Implemented")+COUNTIF(F39:J39,"Partial")+COUNTIF(F39:J39,"Not Implemented"))+COUNTIF(F39:J39,"??")=0,"N/A",IF((COUNTIF(F39:J39,"Implemented")+COUNTIF(F39:J39,"Partial")+COUNTIF(F39:J39,"Not Implemented"))=0,"??",IF(COUNTIF(F39:J39,"Implemented")=(COUNTIF(F39:J39,"Implemented")+COUNTIF(F39:J39,"Partial")+COUNTIF(F39:J39,"Not Implemented")),"Implemented",IF(COUNTIF(F39:J39,"Not Implemented")=(COUNTIF(F39:J39,"Implemented")+COUNTIF(F39:J39,"Partial")+COUNTIF(F39:J39,"Not Implemented")),"Not Implemented","Partial")))))</f>
        <v>Partial</v>
      </c>
      <c r="L39" s="12">
        <f>IF(COUNTA(F39:J39)=0,"",(COUNTIF(F39:J39,"Implemented")+COUNTIF(F39:J39,"Partial")+COUNTIF(F39:J39,"Not Implemented")))</f>
        <v>2</v>
      </c>
      <c r="M39" s="12">
        <f>IF(COUNTA(F39:J39)=0,"",COUNTIF(F39:J39,"??"))</f>
        <v>0</v>
      </c>
      <c r="N39" s="12">
        <f>IF(COUNTA(F39:J39)=0,"",COUNTIF(F39:J39,"Partial")+COUNTIF(F39:J39,"Not Implemented"))</f>
        <v>2</v>
      </c>
      <c r="O39" s="14" t="s">
        <v>547</v>
      </c>
      <c r="P39" s="14" t="s">
        <v>548</v>
      </c>
      <c r="Q39" s="15" t="s">
        <v>882</v>
      </c>
      <c r="R39" s="15" t="s">
        <v>883</v>
      </c>
      <c r="S39" s="15" t="s">
        <v>884</v>
      </c>
      <c r="T39" s="15" t="s">
        <v>885</v>
      </c>
      <c r="U39" s="15" t="s">
        <v>47</v>
      </c>
      <c r="V39" s="14" t="s">
        <v>549</v>
      </c>
      <c r="W39" s="16"/>
    </row>
    <row r="40" spans="1:23" ht="48" x14ac:dyDescent="0.2">
      <c r="A40" s="11" t="s">
        <v>157</v>
      </c>
      <c r="B40" s="12" t="str">
        <f>IF(A40="","",IFERROR(INDEX('Asset Register'!$B:$B,MATCH(A40,'Asset Register'!$A:$A,0)),""))</f>
        <v>A-X01</v>
      </c>
      <c r="C40" s="13" t="str">
        <f>IF(A40="","",IFERROR(INDEX('Asset Register'!$E:$E,MATCH(A40,'Asset Register'!$A:$A,0)),""))</f>
        <v>Amazon</v>
      </c>
      <c r="D40" s="12" t="str">
        <f>IF(A40="","",IFERROR(INDEX('Asset Register'!$D:$D,MATCH(A40,'Asset Register'!$A:$A,0)),""))</f>
        <v>Entertainment &amp; Shopping</v>
      </c>
      <c r="E40" s="12" t="str">
        <f>IF(A40="","",IFERROR(INDEX('Asset Register'!$J:$J,MATCH(A40,'Asset Register'!$A:$A,0)),""))</f>
        <v>Medium</v>
      </c>
      <c r="F40" s="11" t="s">
        <v>29</v>
      </c>
      <c r="G40" s="11" t="s">
        <v>29</v>
      </c>
      <c r="H40" s="11" t="s">
        <v>55</v>
      </c>
      <c r="I40" s="11" t="s">
        <v>29</v>
      </c>
      <c r="J40" s="11" t="s">
        <v>29</v>
      </c>
      <c r="K40" s="12" t="str">
        <f>IF(COUNTA(F40:J40)=0,"",IF((COUNTIF(F40:J40,"Implemented")+COUNTIF(F40:J40,"Partial")+COUNTIF(F40:J40,"Not Implemented"))+COUNTIF(F40:J40,"??")=0,"N/A",IF((COUNTIF(F40:J40,"Implemented")+COUNTIF(F40:J40,"Partial")+COUNTIF(F40:J40,"Not Implemented"))=0,"??",IF(COUNTIF(F40:J40,"Implemented")=(COUNTIF(F40:J40,"Implemented")+COUNTIF(F40:J40,"Partial")+COUNTIF(F40:J40,"Not Implemented")),"Implemented",IF(COUNTIF(F40:J40,"Not Implemented")=(COUNTIF(F40:J40,"Implemented")+COUNTIF(F40:J40,"Partial")+COUNTIF(F40:J40,"Not Implemented")),"Not Implemented","Partial")))))</f>
        <v>Partial</v>
      </c>
      <c r="L40" s="12">
        <f>IF(COUNTA(F40:J40)=0,"",(COUNTIF(F40:J40,"Implemented")+COUNTIF(F40:J40,"Partial")+COUNTIF(F40:J40,"Not Implemented")))</f>
        <v>1</v>
      </c>
      <c r="M40" s="12">
        <f>IF(COUNTA(F40:J40)=0,"",COUNTIF(F40:J40,"??"))</f>
        <v>0</v>
      </c>
      <c r="N40" s="12">
        <f>IF(COUNTA(F40:J40)=0,"",COUNTIF(F40:J40,"Partial")+COUNTIF(F40:J40,"Not Implemented"))</f>
        <v>1</v>
      </c>
      <c r="O40" s="14" t="s">
        <v>535</v>
      </c>
      <c r="P40" s="14" t="s">
        <v>536</v>
      </c>
      <c r="Q40" s="15" t="s">
        <v>890</v>
      </c>
      <c r="R40" s="15" t="s">
        <v>801</v>
      </c>
      <c r="S40" s="15" t="s">
        <v>802</v>
      </c>
      <c r="T40" s="15" t="s">
        <v>891</v>
      </c>
      <c r="U40" s="15"/>
      <c r="V40" s="14"/>
      <c r="W40" s="16"/>
    </row>
    <row r="41" spans="1:23" ht="64" x14ac:dyDescent="0.2">
      <c r="A41" s="11" t="s">
        <v>158</v>
      </c>
      <c r="B41" s="12" t="str">
        <f>IF(A41="","",IFERROR(INDEX('Asset Register'!$B:$B,MATCH(A41,'Asset Register'!$A:$A,0)),""))</f>
        <v>D-L01</v>
      </c>
      <c r="C41" s="13" t="str">
        <f>IF(A41="","",IFERROR(INDEX('Asset Register'!$E:$E,MATCH(A41,'Asset Register'!$A:$A,0)),""))</f>
        <v>Job-hunting materials</v>
      </c>
      <c r="D41" s="12" t="str">
        <f>IF(A41="","",IFERROR(INDEX('Asset Register'!$D:$D,MATCH(A41,'Asset Register'!$A:$A,0)),""))</f>
        <v>Local (MacBook)</v>
      </c>
      <c r="E41" s="12" t="str">
        <f>IF(A41="","",IFERROR(INDEX('Asset Register'!$J:$J,MATCH(A41,'Asset Register'!$A:$A,0)),""))</f>
        <v>Critical</v>
      </c>
      <c r="F41" s="11" t="s">
        <v>29</v>
      </c>
      <c r="G41" s="11" t="s">
        <v>29</v>
      </c>
      <c r="H41" s="11" t="s">
        <v>29</v>
      </c>
      <c r="I41" s="11" t="s">
        <v>29</v>
      </c>
      <c r="J41" s="11" t="s">
        <v>572</v>
      </c>
      <c r="K41" s="12" t="str">
        <f>IF(COUNTA(F41:J41)=0,"",IF((COUNTIF(F41:J41,"Implemented")+COUNTIF(F41:J41,"Partial")+COUNTIF(F41:J41,"Not Implemented"))+COUNTIF(F41:J41,"??")=0,"N/A",IF((COUNTIF(F41:J41,"Implemented")+COUNTIF(F41:J41,"Partial")+COUNTIF(F41:J41,"Not Implemented"))=0,"??",IF(COUNTIF(F41:J41,"Implemented")=(COUNTIF(F41:J41,"Implemented")+COUNTIF(F41:J41,"Partial")+COUNTIF(F41:J41,"Not Implemented")),"Implemented",IF(COUNTIF(F41:J41,"Not Implemented")=(COUNTIF(F41:J41,"Implemented")+COUNTIF(F41:J41,"Partial")+COUNTIF(F41:J41,"Not Implemented")),"Not Implemented","Partial")))))</f>
        <v>Implemented</v>
      </c>
      <c r="L41" s="12">
        <f>IF(COUNTA(F41:J41)=0,"",(COUNTIF(F41:J41,"Implemented")+COUNTIF(F41:J41,"Partial")+COUNTIF(F41:J41,"Not Implemented")))</f>
        <v>1</v>
      </c>
      <c r="M41" s="12">
        <f>IF(COUNTA(F41:J41)=0,"",COUNTIF(F41:J41,"??"))</f>
        <v>0</v>
      </c>
      <c r="N41" s="12">
        <f>IF(COUNTA(F41:J41)=0,"",COUNTIF(F41:J41,"Partial")+COUNTIF(F41:J41,"Not Implemented"))</f>
        <v>0</v>
      </c>
      <c r="O41" s="14" t="s">
        <v>550</v>
      </c>
      <c r="P41" s="14" t="s">
        <v>551</v>
      </c>
      <c r="Q41" s="15" t="s">
        <v>896</v>
      </c>
      <c r="R41" s="15" t="s">
        <v>897</v>
      </c>
      <c r="S41" s="15" t="s">
        <v>898</v>
      </c>
      <c r="T41" s="15" t="s">
        <v>899</v>
      </c>
      <c r="U41" s="15"/>
      <c r="V41" s="14"/>
      <c r="W41" s="16"/>
    </row>
    <row r="42" spans="1:23" ht="48" x14ac:dyDescent="0.2">
      <c r="A42" s="11" t="s">
        <v>165</v>
      </c>
      <c r="B42" s="12" t="str">
        <f>IF(A42="","",IFERROR(INDEX('Asset Register'!$B:$B,MATCH(A42,'Asset Register'!$A:$A,0)),""))</f>
        <v>D-L03</v>
      </c>
      <c r="C42" s="13" t="str">
        <f>IF(A42="","",IFERROR(INDEX('Asset Register'!$E:$E,MATCH(A42,'Asset Register'!$A:$A,0)),""))</f>
        <v>Academic files</v>
      </c>
      <c r="D42" s="12" t="str">
        <f>IF(A42="","",IFERROR(INDEX('Asset Register'!$D:$D,MATCH(A42,'Asset Register'!$A:$A,0)),""))</f>
        <v>Local (MacBook)</v>
      </c>
      <c r="E42" s="12" t="str">
        <f>IF(A42="","",IFERROR(INDEX('Asset Register'!$J:$J,MATCH(A42,'Asset Register'!$A:$A,0)),""))</f>
        <v>High</v>
      </c>
      <c r="F42" s="11" t="s">
        <v>29</v>
      </c>
      <c r="G42" s="11" t="s">
        <v>29</v>
      </c>
      <c r="H42" s="11" t="s">
        <v>29</v>
      </c>
      <c r="I42" s="11" t="s">
        <v>29</v>
      </c>
      <c r="J42" s="11" t="s">
        <v>55</v>
      </c>
      <c r="K42" s="12" t="str">
        <f>IF(COUNTA(F42:J42)=0,"",IF((COUNTIF(F42:J42,"Implemented")+COUNTIF(F42:J42,"Partial")+COUNTIF(F42:J42,"Not Implemented"))+COUNTIF(F42:J42,"??")=0,"N/A",IF((COUNTIF(F42:J42,"Implemented")+COUNTIF(F42:J42,"Partial")+COUNTIF(F42:J42,"Not Implemented"))=0,"??",IF(COUNTIF(F42:J42,"Implemented")=(COUNTIF(F42:J42,"Implemented")+COUNTIF(F42:J42,"Partial")+COUNTIF(F42:J42,"Not Implemented")),"Implemented",IF(COUNTIF(F42:J42,"Not Implemented")=(COUNTIF(F42:J42,"Implemented")+COUNTIF(F42:J42,"Partial")+COUNTIF(F42:J42,"Not Implemented")),"Not Implemented","Partial")))))</f>
        <v>Partial</v>
      </c>
      <c r="L42" s="12">
        <f>IF(COUNTA(F42:J42)=0,"",(COUNTIF(F42:J42,"Implemented")+COUNTIF(F42:J42,"Partial")+COUNTIF(F42:J42,"Not Implemented")))</f>
        <v>1</v>
      </c>
      <c r="M42" s="12">
        <f>IF(COUNTA(F42:J42)=0,"",COUNTIF(F42:J42,"??"))</f>
        <v>0</v>
      </c>
      <c r="N42" s="12">
        <f>IF(COUNTA(F42:J42)=0,"",COUNTIF(F42:J42,"Partial")+COUNTIF(F42:J42,"Not Implemented"))</f>
        <v>1</v>
      </c>
      <c r="O42" s="14" t="s">
        <v>550</v>
      </c>
      <c r="P42" s="14" t="s">
        <v>551</v>
      </c>
      <c r="Q42" s="15" t="s">
        <v>904</v>
      </c>
      <c r="R42" s="15" t="s">
        <v>905</v>
      </c>
      <c r="S42" s="15" t="s">
        <v>906</v>
      </c>
      <c r="T42" s="15" t="s">
        <v>907</v>
      </c>
      <c r="U42" s="15"/>
      <c r="V42" s="14"/>
      <c r="W42" s="16"/>
    </row>
    <row r="43" spans="1:23" ht="48" x14ac:dyDescent="0.2">
      <c r="A43" s="11" t="s">
        <v>167</v>
      </c>
      <c r="B43" s="12" t="str">
        <f>IF(A43="","",IFERROR(INDEX('Asset Register'!$B:$B,MATCH(A43,'Asset Register'!$A:$A,0)),""))</f>
        <v>D-L05</v>
      </c>
      <c r="C43" s="13" t="str">
        <f>IF(A43="","",IFERROR(INDEX('Asset Register'!$E:$E,MATCH(A43,'Asset Register'!$A:$A,0)),""))</f>
        <v>Financial documents</v>
      </c>
      <c r="D43" s="12" t="str">
        <f>IF(A43="","",IFERROR(INDEX('Asset Register'!$D:$D,MATCH(A43,'Asset Register'!$A:$A,0)),""))</f>
        <v>Local (MacBook)</v>
      </c>
      <c r="E43" s="12" t="str">
        <f>IF(A43="","",IFERROR(INDEX('Asset Register'!$J:$J,MATCH(A43,'Asset Register'!$A:$A,0)),""))</f>
        <v>High</v>
      </c>
      <c r="F43" s="11" t="s">
        <v>29</v>
      </c>
      <c r="G43" s="11" t="s">
        <v>29</v>
      </c>
      <c r="H43" s="11" t="s">
        <v>29</v>
      </c>
      <c r="I43" s="11" t="s">
        <v>29</v>
      </c>
      <c r="J43" s="11" t="s">
        <v>55</v>
      </c>
      <c r="K43" s="12" t="str">
        <f>IF(COUNTA(F43:J43)=0,"",IF((COUNTIF(F43:J43,"Implemented")+COUNTIF(F43:J43,"Partial")+COUNTIF(F43:J43,"Not Implemented"))+COUNTIF(F43:J43,"??")=0,"N/A",IF((COUNTIF(F43:J43,"Implemented")+COUNTIF(F43:J43,"Partial")+COUNTIF(F43:J43,"Not Implemented"))=0,"??",IF(COUNTIF(F43:J43,"Implemented")=(COUNTIF(F43:J43,"Implemented")+COUNTIF(F43:J43,"Partial")+COUNTIF(F43:J43,"Not Implemented")),"Implemented",IF(COUNTIF(F43:J43,"Not Implemented")=(COUNTIF(F43:J43,"Implemented")+COUNTIF(F43:J43,"Partial")+COUNTIF(F43:J43,"Not Implemented")),"Not Implemented","Partial")))))</f>
        <v>Partial</v>
      </c>
      <c r="L43" s="12">
        <f>IF(COUNTA(F43:J43)=0,"",(COUNTIF(F43:J43,"Implemented")+COUNTIF(F43:J43,"Partial")+COUNTIF(F43:J43,"Not Implemented")))</f>
        <v>1</v>
      </c>
      <c r="M43" s="12">
        <f>IF(COUNTA(F43:J43)=0,"",COUNTIF(F43:J43,"??"))</f>
        <v>0</v>
      </c>
      <c r="N43" s="12">
        <f>IF(COUNTA(F43:J43)=0,"",COUNTIF(F43:J43,"Partial")+COUNTIF(F43:J43,"Not Implemented"))</f>
        <v>1</v>
      </c>
      <c r="O43" s="14" t="s">
        <v>550</v>
      </c>
      <c r="P43" s="14" t="s">
        <v>551</v>
      </c>
      <c r="Q43" s="15" t="s">
        <v>912</v>
      </c>
      <c r="R43" s="15" t="s">
        <v>913</v>
      </c>
      <c r="S43" s="15" t="s">
        <v>914</v>
      </c>
      <c r="T43" s="15" t="s">
        <v>915</v>
      </c>
      <c r="U43" s="15"/>
      <c r="V43" s="14"/>
      <c r="W43" s="16"/>
    </row>
    <row r="44" spans="1:23" ht="64" x14ac:dyDescent="0.2">
      <c r="A44" s="11" t="s">
        <v>172</v>
      </c>
      <c r="B44" s="12" t="str">
        <f>IF(A44="","",IFERROR(INDEX('Asset Register'!$B:$B,MATCH(A44,'Asset Register'!$A:$A,0)),""))</f>
        <v>D-C01</v>
      </c>
      <c r="C44" s="13" t="str">
        <f>IF(A44="","",IFERROR(INDEX('Asset Register'!$E:$E,MATCH(A44,'Asset Register'!$A:$A,0)),""))</f>
        <v>iCloud Photos</v>
      </c>
      <c r="D44" s="12" t="str">
        <f>IF(A44="","",IFERROR(INDEX('Asset Register'!$D:$D,MATCH(A44,'Asset Register'!$A:$A,0)),""))</f>
        <v>Cloud Storage</v>
      </c>
      <c r="E44" s="12" t="str">
        <f>IF(A44="","",IFERROR(INDEX('Asset Register'!$J:$J,MATCH(A44,'Asset Register'!$A:$A,0)),""))</f>
        <v>High</v>
      </c>
      <c r="F44" s="11" t="s">
        <v>29</v>
      </c>
      <c r="G44" s="11" t="s">
        <v>29</v>
      </c>
      <c r="H44" s="11" t="s">
        <v>573</v>
      </c>
      <c r="I44" s="11" t="s">
        <v>29</v>
      </c>
      <c r="J44" s="11" t="s">
        <v>572</v>
      </c>
      <c r="K44" s="12" t="str">
        <f>IF(COUNTA(F44:J44)=0,"",IF((COUNTIF(F44:J44,"Implemented")+COUNTIF(F44:J44,"Partial")+COUNTIF(F44:J44,"Not Implemented"))+COUNTIF(F44:J44,"??")=0,"N/A",IF((COUNTIF(F44:J44,"Implemented")+COUNTIF(F44:J44,"Partial")+COUNTIF(F44:J44,"Not Implemented"))=0,"??",IF(COUNTIF(F44:J44,"Implemented")=(COUNTIF(F44:J44,"Implemented")+COUNTIF(F44:J44,"Partial")+COUNTIF(F44:J44,"Not Implemented")),"Implemented",IF(COUNTIF(F44:J44,"Not Implemented")=(COUNTIF(F44:J44,"Implemented")+COUNTIF(F44:J44,"Partial")+COUNTIF(F44:J44,"Not Implemented")),"Not Implemented","Partial")))))</f>
        <v>Partial</v>
      </c>
      <c r="L44" s="12">
        <f>IF(COUNTA(F44:J44)=0,"",(COUNTIF(F44:J44,"Implemented")+COUNTIF(F44:J44,"Partial")+COUNTIF(F44:J44,"Not Implemented")))</f>
        <v>2</v>
      </c>
      <c r="M44" s="12">
        <f>IF(COUNTA(F44:J44)=0,"",COUNTIF(F44:J44,"??"))</f>
        <v>0</v>
      </c>
      <c r="N44" s="12">
        <f>IF(COUNTA(F44:J44)=0,"",COUNTIF(F44:J44,"Partial")+COUNTIF(F44:J44,"Not Implemented"))</f>
        <v>1</v>
      </c>
      <c r="O44" s="14" t="s">
        <v>552</v>
      </c>
      <c r="P44" s="14" t="s">
        <v>553</v>
      </c>
      <c r="Q44" s="15" t="s">
        <v>916</v>
      </c>
      <c r="R44" s="15" t="s">
        <v>917</v>
      </c>
      <c r="S44" s="15" t="s">
        <v>918</v>
      </c>
      <c r="T44" s="15" t="s">
        <v>923</v>
      </c>
      <c r="U44" s="15"/>
      <c r="V44" s="14"/>
      <c r="W44" s="16"/>
    </row>
    <row r="45" spans="1:23" ht="64" x14ac:dyDescent="0.2">
      <c r="A45" s="11" t="s">
        <v>176</v>
      </c>
      <c r="B45" s="12" t="str">
        <f>IF(A45="","",IFERROR(INDEX('Asset Register'!$B:$B,MATCH(A45,'Asset Register'!$A:$A,0)),""))</f>
        <v>D-C02</v>
      </c>
      <c r="C45" s="13" t="str">
        <f>IF(A45="","",IFERROR(INDEX('Asset Register'!$E:$E,MATCH(A45,'Asset Register'!$A:$A,0)),""))</f>
        <v>iCloud Drive files</v>
      </c>
      <c r="D45" s="12" t="str">
        <f>IF(A45="","",IFERROR(INDEX('Asset Register'!$D:$D,MATCH(A45,'Asset Register'!$A:$A,0)),""))</f>
        <v>Cloud Storage</v>
      </c>
      <c r="E45" s="12" t="str">
        <f>IF(A45="","",IFERROR(INDEX('Asset Register'!$J:$J,MATCH(A45,'Asset Register'!$A:$A,0)),""))</f>
        <v>Medium</v>
      </c>
      <c r="F45" s="11" t="s">
        <v>29</v>
      </c>
      <c r="G45" s="11" t="s">
        <v>29</v>
      </c>
      <c r="H45" s="11" t="s">
        <v>573</v>
      </c>
      <c r="I45" s="11" t="s">
        <v>29</v>
      </c>
      <c r="J45" s="11" t="s">
        <v>573</v>
      </c>
      <c r="K45" s="12" t="str">
        <f>IF(COUNTA(F45:J45)=0,"",IF((COUNTIF(F45:J45,"Implemented")+COUNTIF(F45:J45,"Partial")+COUNTIF(F45:J45,"Not Implemented"))+COUNTIF(F45:J45,"??")=0,"N/A",IF((COUNTIF(F45:J45,"Implemented")+COUNTIF(F45:J45,"Partial")+COUNTIF(F45:J45,"Not Implemented"))=0,"??",IF(COUNTIF(F45:J45,"Implemented")=(COUNTIF(F45:J45,"Implemented")+COUNTIF(F45:J45,"Partial")+COUNTIF(F45:J45,"Not Implemented")),"Implemented",IF(COUNTIF(F45:J45,"Not Implemented")=(COUNTIF(F45:J45,"Implemented")+COUNTIF(F45:J45,"Partial")+COUNTIF(F45:J45,"Not Implemented")),"Not Implemented","Partial")))))</f>
        <v>Not Implemented</v>
      </c>
      <c r="L45" s="12">
        <f>IF(COUNTA(F45:J45)=0,"",(COUNTIF(F45:J45,"Implemented")+COUNTIF(F45:J45,"Partial")+COUNTIF(F45:J45,"Not Implemented")))</f>
        <v>2</v>
      </c>
      <c r="M45" s="12">
        <f>IF(COUNTA(F45:J45)=0,"",COUNTIF(F45:J45,"??"))</f>
        <v>0</v>
      </c>
      <c r="N45" s="12">
        <f>IF(COUNTA(F45:J45)=0,"",COUNTIF(F45:J45,"Partial")+COUNTIF(F45:J45,"Not Implemented"))</f>
        <v>2</v>
      </c>
      <c r="O45" s="14" t="s">
        <v>552</v>
      </c>
      <c r="P45" s="14" t="s">
        <v>553</v>
      </c>
      <c r="Q45" s="15" t="s">
        <v>928</v>
      </c>
      <c r="R45" s="15" t="s">
        <v>929</v>
      </c>
      <c r="S45" s="15" t="s">
        <v>930</v>
      </c>
      <c r="T45" s="15" t="s">
        <v>931</v>
      </c>
      <c r="U45" s="15"/>
      <c r="V45" s="14"/>
      <c r="W45" s="16"/>
    </row>
    <row r="46" spans="1:23" ht="48" x14ac:dyDescent="0.2">
      <c r="A46" s="11" t="s">
        <v>180</v>
      </c>
      <c r="B46" s="12" t="str">
        <f>IF(A46="","",IFERROR(INDEX('Asset Register'!$B:$B,MATCH(A46,'Asset Register'!$A:$A,0)),""))</f>
        <v>D-C04</v>
      </c>
      <c r="C46" s="13" t="str">
        <f>IF(A46="","",IFERROR(INDEX('Asset Register'!$E:$E,MATCH(A46,'Asset Register'!$A:$A,0)),""))</f>
        <v>Video files</v>
      </c>
      <c r="D46" s="12" t="str">
        <f>IF(A46="","",IFERROR(INDEX('Asset Register'!$D:$D,MATCH(A46,'Asset Register'!$A:$A,0)),""))</f>
        <v>Cloud Storage</v>
      </c>
      <c r="E46" s="12" t="str">
        <f>IF(A46="","",IFERROR(INDEX('Asset Register'!$J:$J,MATCH(A46,'Asset Register'!$A:$A,0)),""))</f>
        <v>Low</v>
      </c>
      <c r="F46" s="11" t="s">
        <v>29</v>
      </c>
      <c r="G46" s="11" t="s">
        <v>29</v>
      </c>
      <c r="H46" s="11" t="s">
        <v>573</v>
      </c>
      <c r="I46" s="11" t="s">
        <v>29</v>
      </c>
      <c r="J46" s="11" t="s">
        <v>572</v>
      </c>
      <c r="K46" s="12" t="str">
        <f>IF(COUNTA(F46:J46)=0,"",IF((COUNTIF(F46:J46,"Implemented")+COUNTIF(F46:J46,"Partial")+COUNTIF(F46:J46,"Not Implemented"))+COUNTIF(F46:J46,"??")=0,"N/A",IF((COUNTIF(F46:J46,"Implemented")+COUNTIF(F46:J46,"Partial")+COUNTIF(F46:J46,"Not Implemented"))=0,"??",IF(COUNTIF(F46:J46,"Implemented")=(COUNTIF(F46:J46,"Implemented")+COUNTIF(F46:J46,"Partial")+COUNTIF(F46:J46,"Not Implemented")),"Implemented",IF(COUNTIF(F46:J46,"Not Implemented")=(COUNTIF(F46:J46,"Implemented")+COUNTIF(F46:J46,"Partial")+COUNTIF(F46:J46,"Not Implemented")),"Not Implemented","Partial")))))</f>
        <v>Partial</v>
      </c>
      <c r="L46" s="12">
        <f>IF(COUNTA(F46:J46)=0,"",(COUNTIF(F46:J46,"Implemented")+COUNTIF(F46:J46,"Partial")+COUNTIF(F46:J46,"Not Implemented")))</f>
        <v>2</v>
      </c>
      <c r="M46" s="12">
        <f>IF(COUNTA(F46:J46)=0,"",COUNTIF(F46:J46,"??"))</f>
        <v>0</v>
      </c>
      <c r="N46" s="12">
        <f>IF(COUNTA(F46:J46)=0,"",COUNTIF(F46:J46,"Partial")+COUNTIF(F46:J46,"Not Implemented"))</f>
        <v>1</v>
      </c>
      <c r="O46" s="14" t="s">
        <v>552</v>
      </c>
      <c r="P46" s="14" t="s">
        <v>553</v>
      </c>
      <c r="Q46" s="15" t="s">
        <v>936</v>
      </c>
      <c r="R46" s="15" t="s">
        <v>937</v>
      </c>
      <c r="S46" s="15" t="s">
        <v>938</v>
      </c>
      <c r="T46" s="15" t="s">
        <v>939</v>
      </c>
      <c r="U46" s="15"/>
      <c r="V46" s="14"/>
      <c r="W46" s="16"/>
    </row>
    <row r="47" spans="1:23" ht="48" x14ac:dyDescent="0.2">
      <c r="A47" s="11" t="s">
        <v>181</v>
      </c>
      <c r="B47" s="12" t="str">
        <f>IF(A47="","",IFERROR(INDEX('Asset Register'!$B:$B,MATCH(A47,'Asset Register'!$A:$A,0)),""))</f>
        <v>D-K01</v>
      </c>
      <c r="C47" s="13" t="str">
        <f>IF(A47="","",IFERROR(INDEX('Asset Register'!$E:$E,MATCH(A47,'Asset Register'!$A:$A,0)),""))</f>
        <v>Obsidian career vault</v>
      </c>
      <c r="D47" s="12" t="str">
        <f>IF(A47="","",IFERROR(INDEX('Asset Register'!$D:$D,MATCH(A47,'Asset Register'!$A:$A,0)),""))</f>
        <v>Knowledge Base</v>
      </c>
      <c r="E47" s="12" t="str">
        <f>IF(A47="","",IFERROR(INDEX('Asset Register'!$J:$J,MATCH(A47,'Asset Register'!$A:$A,0)),""))</f>
        <v>Critical</v>
      </c>
      <c r="F47" s="11" t="s">
        <v>29</v>
      </c>
      <c r="G47" s="11" t="s">
        <v>29</v>
      </c>
      <c r="H47" s="11" t="s">
        <v>29</v>
      </c>
      <c r="I47" s="11" t="s">
        <v>29</v>
      </c>
      <c r="J47" s="11" t="s">
        <v>573</v>
      </c>
      <c r="K47" s="12" t="str">
        <f>IF(COUNTA(F47:J47)=0,"",IF((COUNTIF(F47:J47,"Implemented")+COUNTIF(F47:J47,"Partial")+COUNTIF(F47:J47,"Not Implemented"))+COUNTIF(F47:J47,"??")=0,"N/A",IF((COUNTIF(F47:J47,"Implemented")+COUNTIF(F47:J47,"Partial")+COUNTIF(F47:J47,"Not Implemented"))=0,"??",IF(COUNTIF(F47:J47,"Implemented")=(COUNTIF(F47:J47,"Implemented")+COUNTIF(F47:J47,"Partial")+COUNTIF(F47:J47,"Not Implemented")),"Implemented",IF(COUNTIF(F47:J47,"Not Implemented")=(COUNTIF(F47:J47,"Implemented")+COUNTIF(F47:J47,"Partial")+COUNTIF(F47:J47,"Not Implemented")),"Not Implemented","Partial")))))</f>
        <v>Not Implemented</v>
      </c>
      <c r="L47" s="12">
        <f>IF(COUNTA(F47:J47)=0,"",(COUNTIF(F47:J47,"Implemented")+COUNTIF(F47:J47,"Partial")+COUNTIF(F47:J47,"Not Implemented")))</f>
        <v>1</v>
      </c>
      <c r="M47" s="12">
        <f>IF(COUNTA(F47:J47)=0,"",COUNTIF(F47:J47,"??"))</f>
        <v>0</v>
      </c>
      <c r="N47" s="12">
        <f>IF(COUNTA(F47:J47)=0,"",COUNTIF(F47:J47,"Partial")+COUNTIF(F47:J47,"Not Implemented"))</f>
        <v>1</v>
      </c>
      <c r="O47" s="14" t="s">
        <v>554</v>
      </c>
      <c r="P47" s="14" t="s">
        <v>555</v>
      </c>
      <c r="Q47" s="15" t="s">
        <v>944</v>
      </c>
      <c r="R47" s="15" t="s">
        <v>945</v>
      </c>
      <c r="S47" s="15" t="s">
        <v>946</v>
      </c>
      <c r="T47" s="15" t="s">
        <v>947</v>
      </c>
      <c r="U47" s="15" t="s">
        <v>184</v>
      </c>
      <c r="V47" s="14" t="s">
        <v>556</v>
      </c>
      <c r="W47" s="16"/>
    </row>
    <row r="48" spans="1:23" ht="64" x14ac:dyDescent="0.2">
      <c r="A48" s="11" t="s">
        <v>187</v>
      </c>
      <c r="B48" s="12" t="str">
        <f>IF(A48="","",IFERROR(INDEX('Asset Register'!$B:$B,MATCH(A48,'Asset Register'!$A:$A,0)),""))</f>
        <v>D-P01</v>
      </c>
      <c r="C48" s="13" t="str">
        <f>IF(A48="","",IFERROR(INDEX('Asset Register'!$E:$E,MATCH(A48,'Asset Register'!$A:$A,0)),""))</f>
        <v>Passport</v>
      </c>
      <c r="D48" s="12" t="str">
        <f>IF(A48="","",IFERROR(INDEX('Asset Register'!$D:$D,MATCH(A48,'Asset Register'!$A:$A,0)),""))</f>
        <v>Physical</v>
      </c>
      <c r="E48" s="12" t="str">
        <f>IF(A48="","",IFERROR(INDEX('Asset Register'!$J:$J,MATCH(A48,'Asset Register'!$A:$A,0)),""))</f>
        <v>Critical</v>
      </c>
      <c r="F48" s="11" t="s">
        <v>29</v>
      </c>
      <c r="G48" s="11" t="s">
        <v>572</v>
      </c>
      <c r="H48" s="11" t="s">
        <v>29</v>
      </c>
      <c r="I48" s="11" t="s">
        <v>29</v>
      </c>
      <c r="J48" s="11" t="s">
        <v>29</v>
      </c>
      <c r="K48" s="12" t="str">
        <f>IF(COUNTA(F48:J48)=0,"",IF((COUNTIF(F48:J48,"Implemented")+COUNTIF(F48:J48,"Partial")+COUNTIF(F48:J48,"Not Implemented"))+COUNTIF(F48:J48,"??")=0,"N/A",IF((COUNTIF(F48:J48,"Implemented")+COUNTIF(F48:J48,"Partial")+COUNTIF(F48:J48,"Not Implemented"))=0,"??",IF(COUNTIF(F48:J48,"Implemented")=(COUNTIF(F48:J48,"Implemented")+COUNTIF(F48:J48,"Partial")+COUNTIF(F48:J48,"Not Implemented")),"Implemented",IF(COUNTIF(F48:J48,"Not Implemented")=(COUNTIF(F48:J48,"Implemented")+COUNTIF(F48:J48,"Partial")+COUNTIF(F48:J48,"Not Implemented")),"Not Implemented","Partial")))))</f>
        <v>Implemented</v>
      </c>
      <c r="L48" s="12">
        <f>IF(COUNTA(F48:J48)=0,"",(COUNTIF(F48:J48,"Implemented")+COUNTIF(F48:J48,"Partial")+COUNTIF(F48:J48,"Not Implemented")))</f>
        <v>1</v>
      </c>
      <c r="M48" s="12">
        <f>IF(COUNTA(F48:J48)=0,"",COUNTIF(F48:J48,"??"))</f>
        <v>0</v>
      </c>
      <c r="N48" s="12">
        <f>IF(COUNTA(F48:J48)=0,"",COUNTIF(F48:J48,"Partial")+COUNTIF(F48:J48,"Not Implemented"))</f>
        <v>0</v>
      </c>
      <c r="O48" s="14" t="s">
        <v>557</v>
      </c>
      <c r="P48" s="14" t="s">
        <v>558</v>
      </c>
      <c r="Q48" s="15" t="s">
        <v>952</v>
      </c>
      <c r="R48" s="15" t="s">
        <v>953</v>
      </c>
      <c r="S48" s="15" t="s">
        <v>954</v>
      </c>
      <c r="T48" s="15" t="s">
        <v>955</v>
      </c>
      <c r="U48" s="15"/>
      <c r="V48" s="14" t="s">
        <v>559</v>
      </c>
      <c r="W48" s="16"/>
    </row>
    <row r="49" spans="1:23" ht="64" x14ac:dyDescent="0.2">
      <c r="A49" s="11" t="s">
        <v>191</v>
      </c>
      <c r="B49" s="12" t="str">
        <f>IF(A49="","",IFERROR(INDEX('Asset Register'!$B:$B,MATCH(A49,'Asset Register'!$A:$A,0)),""))</f>
        <v>D-P02</v>
      </c>
      <c r="C49" s="13" t="str">
        <f>IF(A49="","",IFERROR(INDEX('Asset Register'!$E:$E,MATCH(A49,'Asset Register'!$A:$A,0)),""))</f>
        <v>Student status document (immigration)</v>
      </c>
      <c r="D49" s="12" t="str">
        <f>IF(A49="","",IFERROR(INDEX('Asset Register'!$D:$D,MATCH(A49,'Asset Register'!$A:$A,0)),""))</f>
        <v>Physical</v>
      </c>
      <c r="E49" s="12" t="str">
        <f>IF(A49="","",IFERROR(INDEX('Asset Register'!$J:$J,MATCH(A49,'Asset Register'!$A:$A,0)),""))</f>
        <v>Critical</v>
      </c>
      <c r="F49" s="11" t="s">
        <v>29</v>
      </c>
      <c r="G49" s="11" t="s">
        <v>572</v>
      </c>
      <c r="H49" s="11" t="s">
        <v>29</v>
      </c>
      <c r="I49" s="11" t="s">
        <v>29</v>
      </c>
      <c r="J49" s="11" t="s">
        <v>29</v>
      </c>
      <c r="K49" s="12" t="str">
        <f>IF(COUNTA(F49:J49)=0,"",IF((COUNTIF(F49:J49,"Implemented")+COUNTIF(F49:J49,"Partial")+COUNTIF(F49:J49,"Not Implemented"))+COUNTIF(F49:J49,"??")=0,"N/A",IF((COUNTIF(F49:J49,"Implemented")+COUNTIF(F49:J49,"Partial")+COUNTIF(F49:J49,"Not Implemented"))=0,"??",IF(COUNTIF(F49:J49,"Implemented")=(COUNTIF(F49:J49,"Implemented")+COUNTIF(F49:J49,"Partial")+COUNTIF(F49:J49,"Not Implemented")),"Implemented",IF(COUNTIF(F49:J49,"Not Implemented")=(COUNTIF(F49:J49,"Implemented")+COUNTIF(F49:J49,"Partial")+COUNTIF(F49:J49,"Not Implemented")),"Not Implemented","Partial")))))</f>
        <v>Implemented</v>
      </c>
      <c r="L49" s="12">
        <f>IF(COUNTA(F49:J49)=0,"",(COUNTIF(F49:J49,"Implemented")+COUNTIF(F49:J49,"Partial")+COUNTIF(F49:J49,"Not Implemented")))</f>
        <v>1</v>
      </c>
      <c r="M49" s="12">
        <f>IF(COUNTA(F49:J49)=0,"",COUNTIF(F49:J49,"??"))</f>
        <v>0</v>
      </c>
      <c r="N49" s="12">
        <f>IF(COUNTA(F49:J49)=0,"",COUNTIF(F49:J49,"Partial")+COUNTIF(F49:J49,"Not Implemented"))</f>
        <v>0</v>
      </c>
      <c r="O49" s="14" t="s">
        <v>560</v>
      </c>
      <c r="P49" s="14" t="s">
        <v>558</v>
      </c>
      <c r="Q49" s="15" t="s">
        <v>960</v>
      </c>
      <c r="R49" s="15" t="s">
        <v>961</v>
      </c>
      <c r="S49" s="15" t="s">
        <v>962</v>
      </c>
      <c r="T49" s="15" t="s">
        <v>963</v>
      </c>
      <c r="U49" s="15"/>
      <c r="V49" s="14"/>
      <c r="W49" s="16"/>
    </row>
    <row r="50" spans="1:23" ht="64" x14ac:dyDescent="0.2">
      <c r="A50" s="11" t="s">
        <v>194</v>
      </c>
      <c r="B50" s="12" t="str">
        <f>IF(A50="","",IFERROR(INDEX('Asset Register'!$B:$B,MATCH(A50,'Asset Register'!$A:$A,0)),""))</f>
        <v>D-P03</v>
      </c>
      <c r="C50" s="13" t="str">
        <f>IF(A50="","",IFERROR(INDEX('Asset Register'!$E:$E,MATCH(A50,'Asset Register'!$A:$A,0)),""))</f>
        <v>SSN-related documents</v>
      </c>
      <c r="D50" s="12" t="str">
        <f>IF(A50="","",IFERROR(INDEX('Asset Register'!$D:$D,MATCH(A50,'Asset Register'!$A:$A,0)),""))</f>
        <v>Physical</v>
      </c>
      <c r="E50" s="12" t="str">
        <f>IF(A50="","",IFERROR(INDEX('Asset Register'!$J:$J,MATCH(A50,'Asset Register'!$A:$A,0)),""))</f>
        <v>Critical</v>
      </c>
      <c r="F50" s="11" t="s">
        <v>29</v>
      </c>
      <c r="G50" s="11" t="s">
        <v>572</v>
      </c>
      <c r="H50" s="11" t="s">
        <v>29</v>
      </c>
      <c r="I50" s="11" t="s">
        <v>573</v>
      </c>
      <c r="J50" s="11" t="s">
        <v>29</v>
      </c>
      <c r="K50" s="12" t="str">
        <f>IF(COUNTA(F50:J50)=0,"",IF((COUNTIF(F50:J50,"Implemented")+COUNTIF(F50:J50,"Partial")+COUNTIF(F50:J50,"Not Implemented"))+COUNTIF(F50:J50,"??")=0,"N/A",IF((COUNTIF(F50:J50,"Implemented")+COUNTIF(F50:J50,"Partial")+COUNTIF(F50:J50,"Not Implemented"))=0,"??",IF(COUNTIF(F50:J50,"Implemented")=(COUNTIF(F50:J50,"Implemented")+COUNTIF(F50:J50,"Partial")+COUNTIF(F50:J50,"Not Implemented")),"Implemented",IF(COUNTIF(F50:J50,"Not Implemented")=(COUNTIF(F50:J50,"Implemented")+COUNTIF(F50:J50,"Partial")+COUNTIF(F50:J50,"Not Implemented")),"Not Implemented","Partial")))))</f>
        <v>Partial</v>
      </c>
      <c r="L50" s="12">
        <f>IF(COUNTA(F50:J50)=0,"",(COUNTIF(F50:J50,"Implemented")+COUNTIF(F50:J50,"Partial")+COUNTIF(F50:J50,"Not Implemented")))</f>
        <v>2</v>
      </c>
      <c r="M50" s="12">
        <f>IF(COUNTA(F50:J50)=0,"",COUNTIF(F50:J50,"??"))</f>
        <v>0</v>
      </c>
      <c r="N50" s="12">
        <f>IF(COUNTA(F50:J50)=0,"",COUNTIF(F50:J50,"Partial")+COUNTIF(F50:J50,"Not Implemented"))</f>
        <v>1</v>
      </c>
      <c r="O50" s="14" t="s">
        <v>561</v>
      </c>
      <c r="P50" s="14" t="s">
        <v>562</v>
      </c>
      <c r="Q50" s="15" t="s">
        <v>966</v>
      </c>
      <c r="R50" s="15" t="s">
        <v>967</v>
      </c>
      <c r="S50" s="15" t="s">
        <v>968</v>
      </c>
      <c r="T50" s="15" t="s">
        <v>969</v>
      </c>
      <c r="U50" s="15"/>
      <c r="V50" s="14" t="s">
        <v>563</v>
      </c>
      <c r="W50" s="16"/>
    </row>
    <row r="51" spans="1:23" ht="48" x14ac:dyDescent="0.2">
      <c r="A51" s="11" t="s">
        <v>198</v>
      </c>
      <c r="B51" s="12" t="str">
        <f>IF(A51="","",IFERROR(INDEX('Asset Register'!$B:$B,MATCH(A51,'Asset Register'!$A:$A,0)),""))</f>
        <v>D-P04</v>
      </c>
      <c r="C51" s="13" t="str">
        <f>IF(A51="","",IFERROR(INDEX('Asset Register'!$E:$E,MATCH(A51,'Asset Register'!$A:$A,0)),""))</f>
        <v>Physical credit/debit cards</v>
      </c>
      <c r="D51" s="12" t="str">
        <f>IF(A51="","",IFERROR(INDEX('Asset Register'!$D:$D,MATCH(A51,'Asset Register'!$A:$A,0)),""))</f>
        <v>Physical</v>
      </c>
      <c r="E51" s="12" t="str">
        <f>IF(A51="","",IFERROR(INDEX('Asset Register'!$J:$J,MATCH(A51,'Asset Register'!$A:$A,0)),""))</f>
        <v>High</v>
      </c>
      <c r="F51" s="11" t="s">
        <v>29</v>
      </c>
      <c r="G51" s="11" t="s">
        <v>572</v>
      </c>
      <c r="H51" s="11" t="s">
        <v>29</v>
      </c>
      <c r="I51" s="11" t="s">
        <v>29</v>
      </c>
      <c r="J51" s="11" t="s">
        <v>29</v>
      </c>
      <c r="K51" s="12" t="str">
        <f>IF(COUNTA(F51:J51)=0,"",IF((COUNTIF(F51:J51,"Implemented")+COUNTIF(F51:J51,"Partial")+COUNTIF(F51:J51,"Not Implemented"))+COUNTIF(F51:J51,"??")=0,"N/A",IF((COUNTIF(F51:J51,"Implemented")+COUNTIF(F51:J51,"Partial")+COUNTIF(F51:J51,"Not Implemented"))=0,"??",IF(COUNTIF(F51:J51,"Implemented")=(COUNTIF(F51:J51,"Implemented")+COUNTIF(F51:J51,"Partial")+COUNTIF(F51:J51,"Not Implemented")),"Implemented",IF(COUNTIF(F51:J51,"Not Implemented")=(COUNTIF(F51:J51,"Implemented")+COUNTIF(F51:J51,"Partial")+COUNTIF(F51:J51,"Not Implemented")),"Not Implemented","Partial")))))</f>
        <v>Implemented</v>
      </c>
      <c r="L51" s="12">
        <f>IF(COUNTA(F51:J51)=0,"",(COUNTIF(F51:J51,"Implemented")+COUNTIF(F51:J51,"Partial")+COUNTIF(F51:J51,"Not Implemented")))</f>
        <v>1</v>
      </c>
      <c r="M51" s="12">
        <f>IF(COUNTA(F51:J51)=0,"",COUNTIF(F51:J51,"??"))</f>
        <v>0</v>
      </c>
      <c r="N51" s="12">
        <f>IF(COUNTA(F51:J51)=0,"",COUNTIF(F51:J51,"Partial")+COUNTIF(F51:J51,"Not Implemented"))</f>
        <v>0</v>
      </c>
      <c r="O51" s="14" t="s">
        <v>564</v>
      </c>
      <c r="P51" s="14" t="s">
        <v>565</v>
      </c>
      <c r="Q51" s="15" t="s">
        <v>976</v>
      </c>
      <c r="R51" s="15" t="s">
        <v>977</v>
      </c>
      <c r="S51" s="15" t="s">
        <v>978</v>
      </c>
      <c r="T51" s="15" t="s">
        <v>979</v>
      </c>
      <c r="U51" s="15"/>
      <c r="V51" s="14" t="s">
        <v>566</v>
      </c>
      <c r="W51" s="16"/>
    </row>
    <row r="52" spans="1:23" ht="16" x14ac:dyDescent="0.2">
      <c r="A52" s="11" t="s">
        <v>202</v>
      </c>
      <c r="B52" s="12">
        <f>IF(A52="","",IFERROR(INDEX('Asset Register'!$B:$B,MATCH(A52,'Asset Register'!$A:$A,0)),""))</f>
        <v>0</v>
      </c>
      <c r="C52" s="13">
        <f>IF(A52="","",IFERROR(INDEX('Asset Register'!$E:$E,MATCH(A52,'Asset Register'!$A:$A,0)),""))</f>
        <v>0</v>
      </c>
      <c r="D52" s="12">
        <f>IF(A52="","",IFERROR(INDEX('Asset Register'!$D:$D,MATCH(A52,'Asset Register'!$A:$A,0)),""))</f>
        <v>0</v>
      </c>
      <c r="E52" s="12">
        <f>IF(A52="","",IFERROR(INDEX('Asset Register'!$J:$J,MATCH(A52,'Asset Register'!$A:$A,0)),""))</f>
        <v>0</v>
      </c>
      <c r="F52" s="11"/>
      <c r="G52" s="11"/>
      <c r="H52" s="11"/>
      <c r="I52" s="11"/>
      <c r="J52" s="11"/>
      <c r="K52" s="12" t="str">
        <f>IF(COUNTA(F52:J52)=0,"",IF((COUNTIF(F52:J52,"Implemented")+COUNTIF(F52:J52,"Partial")+COUNTIF(F52:J52,"Not Implemented"))+COUNTIF(F52:J52,"??")=0,"N/A",IF((COUNTIF(F52:J52,"Implemented")+COUNTIF(F52:J52,"Partial")+COUNTIF(F52:J52,"Not Implemented"))=0,"??",IF(COUNTIF(F52:J52,"Implemented")=(COUNTIF(F52:J52,"Implemented")+COUNTIF(F52:J52,"Partial")+COUNTIF(F52:J52,"Not Implemented")),"Implemented",IF(COUNTIF(F52:J52,"Not Implemented")=(COUNTIF(F52:J52,"Implemented")+COUNTIF(F52:J52,"Partial")+COUNTIF(F52:J52,"Not Implemented")),"Not Implemented","Partial")))))</f>
        <v/>
      </c>
      <c r="L52" s="12" t="str">
        <f>IF(COUNTA(F52:J52)=0,"",(COUNTIF(F52:J52,"Implemented")+COUNTIF(F52:J52,"Partial")+COUNTIF(F52:J52,"Not Implemented")))</f>
        <v/>
      </c>
      <c r="M52" s="12" t="str">
        <f>IF(COUNTA(F52:J52)=0,"",COUNTIF(F52:J52,"??"))</f>
        <v/>
      </c>
      <c r="N52" s="12" t="str">
        <f>IF(COUNTA(F52:J52)=0,"",COUNTIF(F52:J52,"Partial")+COUNTIF(F52:J52,"Not Implemented"))</f>
        <v/>
      </c>
      <c r="O52" s="14"/>
      <c r="P52" s="14"/>
      <c r="R52" s="15"/>
      <c r="S52" s="15"/>
      <c r="T52" s="15"/>
      <c r="U52" s="15"/>
      <c r="V52" s="14"/>
      <c r="W52" s="16"/>
    </row>
    <row r="53" spans="1:23" ht="16" x14ac:dyDescent="0.2">
      <c r="A53" s="11" t="s">
        <v>203</v>
      </c>
      <c r="B53" s="12">
        <f>IF(A53="","",IFERROR(INDEX('Asset Register'!$B:$B,MATCH(A53,'Asset Register'!$A:$A,0)),""))</f>
        <v>0</v>
      </c>
      <c r="C53" s="13">
        <f>IF(A53="","",IFERROR(INDEX('Asset Register'!$E:$E,MATCH(A53,'Asset Register'!$A:$A,0)),""))</f>
        <v>0</v>
      </c>
      <c r="D53" s="12">
        <f>IF(A53="","",IFERROR(INDEX('Asset Register'!$D:$D,MATCH(A53,'Asset Register'!$A:$A,0)),""))</f>
        <v>0</v>
      </c>
      <c r="E53" s="12">
        <f>IF(A53="","",IFERROR(INDEX('Asset Register'!$J:$J,MATCH(A53,'Asset Register'!$A:$A,0)),""))</f>
        <v>0</v>
      </c>
      <c r="F53" s="11"/>
      <c r="G53" s="11"/>
      <c r="H53" s="11"/>
      <c r="I53" s="11"/>
      <c r="J53" s="11"/>
      <c r="K53" s="12" t="str">
        <f>IF(COUNTA(F53:J53)=0,"",IF((COUNTIF(F53:J53,"Implemented")+COUNTIF(F53:J53,"Partial")+COUNTIF(F53:J53,"Not Implemented"))+COUNTIF(F53:J53,"??")=0,"N/A",IF((COUNTIF(F53:J53,"Implemented")+COUNTIF(F53:J53,"Partial")+COUNTIF(F53:J53,"Not Implemented"))=0,"??",IF(COUNTIF(F53:J53,"Implemented")=(COUNTIF(F53:J53,"Implemented")+COUNTIF(F53:J53,"Partial")+COUNTIF(F53:J53,"Not Implemented")),"Implemented",IF(COUNTIF(F53:J53,"Not Implemented")=(COUNTIF(F53:J53,"Implemented")+COUNTIF(F53:J53,"Partial")+COUNTIF(F53:J53,"Not Implemented")),"Not Implemented","Partial")))))</f>
        <v/>
      </c>
      <c r="L53" s="12" t="str">
        <f>IF(COUNTA(F53:J53)=0,"",(COUNTIF(F53:J53,"Implemented")+COUNTIF(F53:J53,"Partial")+COUNTIF(F53:J53,"Not Implemented")))</f>
        <v/>
      </c>
      <c r="M53" s="12" t="str">
        <f>IF(COUNTA(F53:J53)=0,"",COUNTIF(F53:J53,"??"))</f>
        <v/>
      </c>
      <c r="N53" s="12" t="str">
        <f>IF(COUNTA(F53:J53)=0,"",COUNTIF(F53:J53,"Partial")+COUNTIF(F53:J53,"Not Implemented"))</f>
        <v/>
      </c>
      <c r="O53" s="14"/>
      <c r="P53" s="14"/>
      <c r="Q53" s="15"/>
      <c r="R53" s="15"/>
      <c r="S53" s="15"/>
      <c r="T53" s="15"/>
      <c r="U53" s="15"/>
      <c r="V53" s="14"/>
      <c r="W53" s="16"/>
    </row>
    <row r="54" spans="1:23" ht="16" x14ac:dyDescent="0.2">
      <c r="A54" s="11" t="s">
        <v>204</v>
      </c>
      <c r="B54" s="12">
        <f>IF(A54="","",IFERROR(INDEX('Asset Register'!$B:$B,MATCH(A54,'Asset Register'!$A:$A,0)),""))</f>
        <v>0</v>
      </c>
      <c r="C54" s="13">
        <f>IF(A54="","",IFERROR(INDEX('Asset Register'!$E:$E,MATCH(A54,'Asset Register'!$A:$A,0)),""))</f>
        <v>0</v>
      </c>
      <c r="D54" s="12">
        <f>IF(A54="","",IFERROR(INDEX('Asset Register'!$D:$D,MATCH(A54,'Asset Register'!$A:$A,0)),""))</f>
        <v>0</v>
      </c>
      <c r="E54" s="12">
        <f>IF(A54="","",IFERROR(INDEX('Asset Register'!$J:$J,MATCH(A54,'Asset Register'!$A:$A,0)),""))</f>
        <v>0</v>
      </c>
      <c r="F54" s="11"/>
      <c r="G54" s="11"/>
      <c r="H54" s="11"/>
      <c r="I54" s="11"/>
      <c r="J54" s="11"/>
      <c r="K54" s="12" t="str">
        <f>IF(COUNTA(F54:J54)=0,"",IF((COUNTIF(F54:J54,"Implemented")+COUNTIF(F54:J54,"Partial")+COUNTIF(F54:J54,"Not Implemented"))+COUNTIF(F54:J54,"??")=0,"N/A",IF((COUNTIF(F54:J54,"Implemented")+COUNTIF(F54:J54,"Partial")+COUNTIF(F54:J54,"Not Implemented"))=0,"??",IF(COUNTIF(F54:J54,"Implemented")=(COUNTIF(F54:J54,"Implemented")+COUNTIF(F54:J54,"Partial")+COUNTIF(F54:J54,"Not Implemented")),"Implemented",IF(COUNTIF(F54:J54,"Not Implemented")=(COUNTIF(F54:J54,"Implemented")+COUNTIF(F54:J54,"Partial")+COUNTIF(F54:J54,"Not Implemented")),"Not Implemented","Partial")))))</f>
        <v/>
      </c>
      <c r="L54" s="12" t="str">
        <f>IF(COUNTA(F54:J54)=0,"",(COUNTIF(F54:J54,"Implemented")+COUNTIF(F54:J54,"Partial")+COUNTIF(F54:J54,"Not Implemented")))</f>
        <v/>
      </c>
      <c r="M54" s="12" t="str">
        <f>IF(COUNTA(F54:J54)=0,"",COUNTIF(F54:J54,"??"))</f>
        <v/>
      </c>
      <c r="N54" s="12" t="str">
        <f>IF(COUNTA(F54:J54)=0,"",COUNTIF(F54:J54,"Partial")+COUNTIF(F54:J54,"Not Implemented"))</f>
        <v/>
      </c>
      <c r="O54" s="14"/>
      <c r="P54" s="14"/>
      <c r="Q54" s="15"/>
      <c r="R54" s="15"/>
      <c r="S54" s="15"/>
      <c r="T54" s="15"/>
      <c r="U54" s="15"/>
      <c r="V54" s="14"/>
      <c r="W54" s="16"/>
    </row>
    <row r="55" spans="1:23" ht="16" x14ac:dyDescent="0.2">
      <c r="A55" s="11" t="s">
        <v>205</v>
      </c>
      <c r="B55" s="12">
        <f>IF(A55="","",IFERROR(INDEX('Asset Register'!$B:$B,MATCH(A55,'Asset Register'!$A:$A,0)),""))</f>
        <v>0</v>
      </c>
      <c r="C55" s="13">
        <f>IF(A55="","",IFERROR(INDEX('Asset Register'!$E:$E,MATCH(A55,'Asset Register'!$A:$A,0)),""))</f>
        <v>0</v>
      </c>
      <c r="D55" s="12">
        <f>IF(A55="","",IFERROR(INDEX('Asset Register'!$D:$D,MATCH(A55,'Asset Register'!$A:$A,0)),""))</f>
        <v>0</v>
      </c>
      <c r="E55" s="12">
        <f>IF(A55="","",IFERROR(INDEX('Asset Register'!$J:$J,MATCH(A55,'Asset Register'!$A:$A,0)),""))</f>
        <v>0</v>
      </c>
      <c r="F55" s="11"/>
      <c r="G55" s="11"/>
      <c r="H55" s="11"/>
      <c r="I55" s="11"/>
      <c r="J55" s="11"/>
      <c r="K55" s="12" t="str">
        <f>IF(COUNTA(F55:J55)=0,"",IF((COUNTIF(F55:J55,"Implemented")+COUNTIF(F55:J55,"Partial")+COUNTIF(F55:J55,"Not Implemented"))+COUNTIF(F55:J55,"??")=0,"N/A",IF((COUNTIF(F55:J55,"Implemented")+COUNTIF(F55:J55,"Partial")+COUNTIF(F55:J55,"Not Implemented"))=0,"??",IF(COUNTIF(F55:J55,"Implemented")=(COUNTIF(F55:J55,"Implemented")+COUNTIF(F55:J55,"Partial")+COUNTIF(F55:J55,"Not Implemented")),"Implemented",IF(COUNTIF(F55:J55,"Not Implemented")=(COUNTIF(F55:J55,"Implemented")+COUNTIF(F55:J55,"Partial")+COUNTIF(F55:J55,"Not Implemented")),"Not Implemented","Partial")))))</f>
        <v/>
      </c>
      <c r="L55" s="12" t="str">
        <f>IF(COUNTA(F55:J55)=0,"",(COUNTIF(F55:J55,"Implemented")+COUNTIF(F55:J55,"Partial")+COUNTIF(F55:J55,"Not Implemented")))</f>
        <v/>
      </c>
      <c r="M55" s="12" t="str">
        <f>IF(COUNTA(F55:J55)=0,"",COUNTIF(F55:J55,"??"))</f>
        <v/>
      </c>
      <c r="N55" s="12" t="str">
        <f>IF(COUNTA(F55:J55)=0,"",COUNTIF(F55:J55,"Partial")+COUNTIF(F55:J55,"Not Implemented"))</f>
        <v/>
      </c>
      <c r="O55" s="14"/>
      <c r="P55" s="14"/>
      <c r="Q55" s="15"/>
      <c r="R55" s="15"/>
      <c r="S55" s="15"/>
      <c r="T55" s="15"/>
      <c r="U55" s="15"/>
      <c r="V55" s="14"/>
      <c r="W55" s="16"/>
    </row>
    <row r="56" spans="1:23" ht="16" x14ac:dyDescent="0.2">
      <c r="A56" s="11" t="s">
        <v>206</v>
      </c>
      <c r="B56" s="12">
        <f>IF(A56="","",IFERROR(INDEX('Asset Register'!$B:$B,MATCH(A56,'Asset Register'!$A:$A,0)),""))</f>
        <v>0</v>
      </c>
      <c r="C56" s="13">
        <f>IF(A56="","",IFERROR(INDEX('Asset Register'!$E:$E,MATCH(A56,'Asset Register'!$A:$A,0)),""))</f>
        <v>0</v>
      </c>
      <c r="D56" s="12">
        <f>IF(A56="","",IFERROR(INDEX('Asset Register'!$D:$D,MATCH(A56,'Asset Register'!$A:$A,0)),""))</f>
        <v>0</v>
      </c>
      <c r="E56" s="12">
        <f>IF(A56="","",IFERROR(INDEX('Asset Register'!$J:$J,MATCH(A56,'Asset Register'!$A:$A,0)),""))</f>
        <v>0</v>
      </c>
      <c r="F56" s="11"/>
      <c r="G56" s="11"/>
      <c r="H56" s="11"/>
      <c r="I56" s="11"/>
      <c r="J56" s="11"/>
      <c r="K56" s="12" t="str">
        <f>IF(COUNTA(F56:J56)=0,"",IF((COUNTIF(F56:J56,"Implemented")+COUNTIF(F56:J56,"Partial")+COUNTIF(F56:J56,"Not Implemented"))+COUNTIF(F56:J56,"??")=0,"N/A",IF((COUNTIF(F56:J56,"Implemented")+COUNTIF(F56:J56,"Partial")+COUNTIF(F56:J56,"Not Implemented"))=0,"??",IF(COUNTIF(F56:J56,"Implemented")=(COUNTIF(F56:J56,"Implemented")+COUNTIF(F56:J56,"Partial")+COUNTIF(F56:J56,"Not Implemented")),"Implemented",IF(COUNTIF(F56:J56,"Not Implemented")=(COUNTIF(F56:J56,"Implemented")+COUNTIF(F56:J56,"Partial")+COUNTIF(F56:J56,"Not Implemented")),"Not Implemented","Partial")))))</f>
        <v/>
      </c>
      <c r="L56" s="12" t="str">
        <f>IF(COUNTA(F56:J56)=0,"",(COUNTIF(F56:J56,"Implemented")+COUNTIF(F56:J56,"Partial")+COUNTIF(F56:J56,"Not Implemented")))</f>
        <v/>
      </c>
      <c r="M56" s="12" t="str">
        <f>IF(COUNTA(F56:J56)=0,"",COUNTIF(F56:J56,"??"))</f>
        <v/>
      </c>
      <c r="N56" s="12" t="str">
        <f>IF(COUNTA(F56:J56)=0,"",COUNTIF(F56:J56,"Partial")+COUNTIF(F56:J56,"Not Implemented"))</f>
        <v/>
      </c>
      <c r="O56" s="14"/>
      <c r="P56" s="14"/>
      <c r="Q56" s="15"/>
      <c r="R56" s="15"/>
      <c r="S56" s="15"/>
      <c r="T56" s="15"/>
      <c r="U56" s="15"/>
      <c r="V56" s="14"/>
      <c r="W56" s="16"/>
    </row>
    <row r="57" spans="1:23" ht="16" x14ac:dyDescent="0.2">
      <c r="A57" s="11" t="s">
        <v>207</v>
      </c>
      <c r="B57" s="12">
        <f>IF(A57="","",IFERROR(INDEX('Asset Register'!$B:$B,MATCH(A57,'Asset Register'!$A:$A,0)),""))</f>
        <v>0</v>
      </c>
      <c r="C57" s="13">
        <f>IF(A57="","",IFERROR(INDEX('Asset Register'!$E:$E,MATCH(A57,'Asset Register'!$A:$A,0)),""))</f>
        <v>0</v>
      </c>
      <c r="D57" s="12">
        <f>IF(A57="","",IFERROR(INDEX('Asset Register'!$D:$D,MATCH(A57,'Asset Register'!$A:$A,0)),""))</f>
        <v>0</v>
      </c>
      <c r="E57" s="12">
        <f>IF(A57="","",IFERROR(INDEX('Asset Register'!$J:$J,MATCH(A57,'Asset Register'!$A:$A,0)),""))</f>
        <v>0</v>
      </c>
      <c r="F57" s="11"/>
      <c r="G57" s="11"/>
      <c r="H57" s="11"/>
      <c r="I57" s="11"/>
      <c r="J57" s="11"/>
      <c r="K57" s="12" t="str">
        <f>IF(COUNTA(F57:J57)=0,"",IF((COUNTIF(F57:J57,"Implemented")+COUNTIF(F57:J57,"Partial")+COUNTIF(F57:J57,"Not Implemented"))+COUNTIF(F57:J57,"??")=0,"N/A",IF((COUNTIF(F57:J57,"Implemented")+COUNTIF(F57:J57,"Partial")+COUNTIF(F57:J57,"Not Implemented"))=0,"??",IF(COUNTIF(F57:J57,"Implemented")=(COUNTIF(F57:J57,"Implemented")+COUNTIF(F57:J57,"Partial")+COUNTIF(F57:J57,"Not Implemented")),"Implemented",IF(COUNTIF(F57:J57,"Not Implemented")=(COUNTIF(F57:J57,"Implemented")+COUNTIF(F57:J57,"Partial")+COUNTIF(F57:J57,"Not Implemented")),"Not Implemented","Partial")))))</f>
        <v/>
      </c>
      <c r="L57" s="12" t="str">
        <f>IF(COUNTA(F57:J57)=0,"",(COUNTIF(F57:J57,"Implemented")+COUNTIF(F57:J57,"Partial")+COUNTIF(F57:J57,"Not Implemented")))</f>
        <v/>
      </c>
      <c r="M57" s="12" t="str">
        <f>IF(COUNTA(F57:J57)=0,"",COUNTIF(F57:J57,"??"))</f>
        <v/>
      </c>
      <c r="N57" s="12" t="str">
        <f>IF(COUNTA(F57:J57)=0,"",COUNTIF(F57:J57,"Partial")+COUNTIF(F57:J57,"Not Implemented"))</f>
        <v/>
      </c>
      <c r="O57" s="14"/>
      <c r="P57" s="14"/>
      <c r="Q57" s="15"/>
      <c r="R57" s="15"/>
      <c r="S57" s="15"/>
      <c r="T57" s="15"/>
      <c r="U57" s="15"/>
      <c r="V57" s="14"/>
      <c r="W57" s="16"/>
    </row>
    <row r="58" spans="1:23" ht="16" x14ac:dyDescent="0.2">
      <c r="A58" s="11" t="s">
        <v>208</v>
      </c>
      <c r="B58" s="12">
        <f>IF(A58="","",IFERROR(INDEX('Asset Register'!$B:$B,MATCH(A58,'Asset Register'!$A:$A,0)),""))</f>
        <v>0</v>
      </c>
      <c r="C58" s="13">
        <f>IF(A58="","",IFERROR(INDEX('Asset Register'!$E:$E,MATCH(A58,'Asset Register'!$A:$A,0)),""))</f>
        <v>0</v>
      </c>
      <c r="D58" s="12">
        <f>IF(A58="","",IFERROR(INDEX('Asset Register'!$D:$D,MATCH(A58,'Asset Register'!$A:$A,0)),""))</f>
        <v>0</v>
      </c>
      <c r="E58" s="12">
        <f>IF(A58="","",IFERROR(INDEX('Asset Register'!$J:$J,MATCH(A58,'Asset Register'!$A:$A,0)),""))</f>
        <v>0</v>
      </c>
      <c r="F58" s="11"/>
      <c r="G58" s="11"/>
      <c r="H58" s="11"/>
      <c r="I58" s="11"/>
      <c r="J58" s="11"/>
      <c r="K58" s="12" t="str">
        <f>IF(COUNTA(F58:J58)=0,"",IF((COUNTIF(F58:J58,"Implemented")+COUNTIF(F58:J58,"Partial")+COUNTIF(F58:J58,"Not Implemented"))+COUNTIF(F58:J58,"??")=0,"N/A",IF((COUNTIF(F58:J58,"Implemented")+COUNTIF(F58:J58,"Partial")+COUNTIF(F58:J58,"Not Implemented"))=0,"??",IF(COUNTIF(F58:J58,"Implemented")=(COUNTIF(F58:J58,"Implemented")+COUNTIF(F58:J58,"Partial")+COUNTIF(F58:J58,"Not Implemented")),"Implemented",IF(COUNTIF(F58:J58,"Not Implemented")=(COUNTIF(F58:J58,"Implemented")+COUNTIF(F58:J58,"Partial")+COUNTIF(F58:J58,"Not Implemented")),"Not Implemented","Partial")))))</f>
        <v/>
      </c>
      <c r="L58" s="12" t="str">
        <f>IF(COUNTA(F58:J58)=0,"",(COUNTIF(F58:J58,"Implemented")+COUNTIF(F58:J58,"Partial")+COUNTIF(F58:J58,"Not Implemented")))</f>
        <v/>
      </c>
      <c r="M58" s="12" t="str">
        <f>IF(COUNTA(F58:J58)=0,"",COUNTIF(F58:J58,"??"))</f>
        <v/>
      </c>
      <c r="N58" s="12" t="str">
        <f>IF(COUNTA(F58:J58)=0,"",COUNTIF(F58:J58,"Partial")+COUNTIF(F58:J58,"Not Implemented"))</f>
        <v/>
      </c>
      <c r="O58" s="14"/>
      <c r="P58" s="14"/>
      <c r="Q58" s="15"/>
      <c r="R58" s="15"/>
      <c r="S58" s="15"/>
      <c r="T58" s="15"/>
      <c r="U58" s="15"/>
      <c r="V58" s="14"/>
      <c r="W58" s="16"/>
    </row>
    <row r="59" spans="1:23" ht="16" x14ac:dyDescent="0.2">
      <c r="A59" s="11" t="s">
        <v>209</v>
      </c>
      <c r="B59" s="12">
        <f>IF(A59="","",IFERROR(INDEX('Asset Register'!$B:$B,MATCH(A59,'Asset Register'!$A:$A,0)),""))</f>
        <v>0</v>
      </c>
      <c r="C59" s="13">
        <f>IF(A59="","",IFERROR(INDEX('Asset Register'!$E:$E,MATCH(A59,'Asset Register'!$A:$A,0)),""))</f>
        <v>0</v>
      </c>
      <c r="D59" s="12">
        <f>IF(A59="","",IFERROR(INDEX('Asset Register'!$D:$D,MATCH(A59,'Asset Register'!$A:$A,0)),""))</f>
        <v>0</v>
      </c>
      <c r="E59" s="12">
        <f>IF(A59="","",IFERROR(INDEX('Asset Register'!$J:$J,MATCH(A59,'Asset Register'!$A:$A,0)),""))</f>
        <v>0</v>
      </c>
      <c r="F59" s="11"/>
      <c r="G59" s="11"/>
      <c r="H59" s="11"/>
      <c r="I59" s="11"/>
      <c r="J59" s="11"/>
      <c r="K59" s="12" t="str">
        <f>IF(COUNTA(F59:J59)=0,"",IF((COUNTIF(F59:J59,"Implemented")+COUNTIF(F59:J59,"Partial")+COUNTIF(F59:J59,"Not Implemented"))+COUNTIF(F59:J59,"??")=0,"N/A",IF((COUNTIF(F59:J59,"Implemented")+COUNTIF(F59:J59,"Partial")+COUNTIF(F59:J59,"Not Implemented"))=0,"??",IF(COUNTIF(F59:J59,"Implemented")=(COUNTIF(F59:J59,"Implemented")+COUNTIF(F59:J59,"Partial")+COUNTIF(F59:J59,"Not Implemented")),"Implemented",IF(COUNTIF(F59:J59,"Not Implemented")=(COUNTIF(F59:J59,"Implemented")+COUNTIF(F59:J59,"Partial")+COUNTIF(F59:J59,"Not Implemented")),"Not Implemented","Partial")))))</f>
        <v/>
      </c>
      <c r="L59" s="12" t="str">
        <f>IF(COUNTA(F59:J59)=0,"",(COUNTIF(F59:J59,"Implemented")+COUNTIF(F59:J59,"Partial")+COUNTIF(F59:J59,"Not Implemented")))</f>
        <v/>
      </c>
      <c r="M59" s="12" t="str">
        <f>IF(COUNTA(F59:J59)=0,"",COUNTIF(F59:J59,"??"))</f>
        <v/>
      </c>
      <c r="N59" s="12" t="str">
        <f>IF(COUNTA(F59:J59)=0,"",COUNTIF(F59:J59,"Partial")+COUNTIF(F59:J59,"Not Implemented"))</f>
        <v/>
      </c>
      <c r="O59" s="14"/>
      <c r="P59" s="14"/>
      <c r="Q59" s="15"/>
      <c r="R59" s="15"/>
      <c r="S59" s="15"/>
      <c r="T59" s="15"/>
      <c r="U59" s="15"/>
      <c r="V59" s="14"/>
      <c r="W59" s="16"/>
    </row>
    <row r="60" spans="1:23" ht="16" x14ac:dyDescent="0.2">
      <c r="A60" s="11" t="s">
        <v>210</v>
      </c>
      <c r="B60" s="12">
        <f>IF(A60="","",IFERROR(INDEX('Asset Register'!$B:$B,MATCH(A60,'Asset Register'!$A:$A,0)),""))</f>
        <v>0</v>
      </c>
      <c r="C60" s="13">
        <f>IF(A60="","",IFERROR(INDEX('Asset Register'!$E:$E,MATCH(A60,'Asset Register'!$A:$A,0)),""))</f>
        <v>0</v>
      </c>
      <c r="D60" s="12">
        <f>IF(A60="","",IFERROR(INDEX('Asset Register'!$D:$D,MATCH(A60,'Asset Register'!$A:$A,0)),""))</f>
        <v>0</v>
      </c>
      <c r="E60" s="12">
        <f>IF(A60="","",IFERROR(INDEX('Asset Register'!$J:$J,MATCH(A60,'Asset Register'!$A:$A,0)),""))</f>
        <v>0</v>
      </c>
      <c r="F60" s="11"/>
      <c r="G60" s="11"/>
      <c r="H60" s="11"/>
      <c r="I60" s="11"/>
      <c r="J60" s="11"/>
      <c r="K60" s="12" t="str">
        <f>IF(COUNTA(F60:J60)=0,"",IF((COUNTIF(F60:J60,"Implemented")+COUNTIF(F60:J60,"Partial")+COUNTIF(F60:J60,"Not Implemented"))+COUNTIF(F60:J60,"??")=0,"N/A",IF((COUNTIF(F60:J60,"Implemented")+COUNTIF(F60:J60,"Partial")+COUNTIF(F60:J60,"Not Implemented"))=0,"??",IF(COUNTIF(F60:J60,"Implemented")=(COUNTIF(F60:J60,"Implemented")+COUNTIF(F60:J60,"Partial")+COUNTIF(F60:J60,"Not Implemented")),"Implemented",IF(COUNTIF(F60:J60,"Not Implemented")=(COUNTIF(F60:J60,"Implemented")+COUNTIF(F60:J60,"Partial")+COUNTIF(F60:J60,"Not Implemented")),"Not Implemented","Partial")))))</f>
        <v/>
      </c>
      <c r="L60" s="12" t="str">
        <f>IF(COUNTA(F60:J60)=0,"",(COUNTIF(F60:J60,"Implemented")+COUNTIF(F60:J60,"Partial")+COUNTIF(F60:J60,"Not Implemented")))</f>
        <v/>
      </c>
      <c r="M60" s="12" t="str">
        <f>IF(COUNTA(F60:J60)=0,"",COUNTIF(F60:J60,"??"))</f>
        <v/>
      </c>
      <c r="N60" s="12" t="str">
        <f>IF(COUNTA(F60:J60)=0,"",COUNTIF(F60:J60,"Partial")+COUNTIF(F60:J60,"Not Implemented"))</f>
        <v/>
      </c>
      <c r="O60" s="14"/>
      <c r="P60" s="14"/>
      <c r="Q60" s="15"/>
      <c r="R60" s="15"/>
      <c r="S60" s="15"/>
      <c r="T60" s="15"/>
      <c r="U60" s="15"/>
      <c r="V60" s="14"/>
      <c r="W60" s="16"/>
    </row>
    <row r="61" spans="1:23" ht="16" x14ac:dyDescent="0.2">
      <c r="A61" s="11" t="s">
        <v>211</v>
      </c>
      <c r="B61" s="12">
        <f>IF(A61="","",IFERROR(INDEX('Asset Register'!$B:$B,MATCH(A61,'Asset Register'!$A:$A,0)),""))</f>
        <v>0</v>
      </c>
      <c r="C61" s="13">
        <f>IF(A61="","",IFERROR(INDEX('Asset Register'!$E:$E,MATCH(A61,'Asset Register'!$A:$A,0)),""))</f>
        <v>0</v>
      </c>
      <c r="D61" s="12">
        <f>IF(A61="","",IFERROR(INDEX('Asset Register'!$D:$D,MATCH(A61,'Asset Register'!$A:$A,0)),""))</f>
        <v>0</v>
      </c>
      <c r="E61" s="12">
        <f>IF(A61="","",IFERROR(INDEX('Asset Register'!$J:$J,MATCH(A61,'Asset Register'!$A:$A,0)),""))</f>
        <v>0</v>
      </c>
      <c r="F61" s="11"/>
      <c r="G61" s="11"/>
      <c r="H61" s="11"/>
      <c r="I61" s="11"/>
      <c r="J61" s="11"/>
      <c r="K61" s="12" t="str">
        <f>IF(COUNTA(F61:J61)=0,"",IF((COUNTIF(F61:J61,"Implemented")+COUNTIF(F61:J61,"Partial")+COUNTIF(F61:J61,"Not Implemented"))+COUNTIF(F61:J61,"??")=0,"N/A",IF((COUNTIF(F61:J61,"Implemented")+COUNTIF(F61:J61,"Partial")+COUNTIF(F61:J61,"Not Implemented"))=0,"??",IF(COUNTIF(F61:J61,"Implemented")=(COUNTIF(F61:J61,"Implemented")+COUNTIF(F61:J61,"Partial")+COUNTIF(F61:J61,"Not Implemented")),"Implemented",IF(COUNTIF(F61:J61,"Not Implemented")=(COUNTIF(F61:J61,"Implemented")+COUNTIF(F61:J61,"Partial")+COUNTIF(F61:J61,"Not Implemented")),"Not Implemented","Partial")))))</f>
        <v/>
      </c>
      <c r="L61" s="12" t="str">
        <f>IF(COUNTA(F61:J61)=0,"",(COUNTIF(F61:J61,"Implemented")+COUNTIF(F61:J61,"Partial")+COUNTIF(F61:J61,"Not Implemented")))</f>
        <v/>
      </c>
      <c r="M61" s="12" t="str">
        <f>IF(COUNTA(F61:J61)=0,"",COUNTIF(F61:J61,"??"))</f>
        <v/>
      </c>
      <c r="N61" s="12" t="str">
        <f>IF(COUNTA(F61:J61)=0,"",COUNTIF(F61:J61,"Partial")+COUNTIF(F61:J61,"Not Implemented"))</f>
        <v/>
      </c>
      <c r="O61" s="14"/>
      <c r="P61" s="14"/>
      <c r="Q61" s="15"/>
      <c r="R61" s="15"/>
      <c r="S61" s="15"/>
      <c r="T61" s="15"/>
      <c r="U61" s="15"/>
      <c r="V61" s="14"/>
      <c r="W61" s="16"/>
    </row>
    <row r="62" spans="1:23" ht="16" x14ac:dyDescent="0.2">
      <c r="A62" s="11" t="s">
        <v>212</v>
      </c>
      <c r="B62" s="12">
        <f>IF(A62="","",IFERROR(INDEX('Asset Register'!$B:$B,MATCH(A62,'Asset Register'!$A:$A,0)),""))</f>
        <v>0</v>
      </c>
      <c r="C62" s="13">
        <f>IF(A62="","",IFERROR(INDEX('Asset Register'!$E:$E,MATCH(A62,'Asset Register'!$A:$A,0)),""))</f>
        <v>0</v>
      </c>
      <c r="D62" s="12">
        <f>IF(A62="","",IFERROR(INDEX('Asset Register'!$D:$D,MATCH(A62,'Asset Register'!$A:$A,0)),""))</f>
        <v>0</v>
      </c>
      <c r="E62" s="12">
        <f>IF(A62="","",IFERROR(INDEX('Asset Register'!$J:$J,MATCH(A62,'Asset Register'!$A:$A,0)),""))</f>
        <v>0</v>
      </c>
      <c r="F62" s="11"/>
      <c r="G62" s="11"/>
      <c r="H62" s="11"/>
      <c r="I62" s="11"/>
      <c r="J62" s="11"/>
      <c r="K62" s="12" t="str">
        <f>IF(COUNTA(F62:J62)=0,"",IF((COUNTIF(F62:J62,"Implemented")+COUNTIF(F62:J62,"Partial")+COUNTIF(F62:J62,"Not Implemented"))+COUNTIF(F62:J62,"??")=0,"N/A",IF((COUNTIF(F62:J62,"Implemented")+COUNTIF(F62:J62,"Partial")+COUNTIF(F62:J62,"Not Implemented"))=0,"??",IF(COUNTIF(F62:J62,"Implemented")=(COUNTIF(F62:J62,"Implemented")+COUNTIF(F62:J62,"Partial")+COUNTIF(F62:J62,"Not Implemented")),"Implemented",IF(COUNTIF(F62:J62,"Not Implemented")=(COUNTIF(F62:J62,"Implemented")+COUNTIF(F62:J62,"Partial")+COUNTIF(F62:J62,"Not Implemented")),"Not Implemented","Partial")))))</f>
        <v/>
      </c>
      <c r="L62" s="12" t="str">
        <f>IF(COUNTA(F62:J62)=0,"",(COUNTIF(F62:J62,"Implemented")+COUNTIF(F62:J62,"Partial")+COUNTIF(F62:J62,"Not Implemented")))</f>
        <v/>
      </c>
      <c r="M62" s="12" t="str">
        <f>IF(COUNTA(F62:J62)=0,"",COUNTIF(F62:J62,"??"))</f>
        <v/>
      </c>
      <c r="N62" s="12" t="str">
        <f>IF(COUNTA(F62:J62)=0,"",COUNTIF(F62:J62,"Partial")+COUNTIF(F62:J62,"Not Implemented"))</f>
        <v/>
      </c>
      <c r="O62" s="14"/>
      <c r="P62" s="14"/>
      <c r="Q62" s="15"/>
      <c r="R62" s="15"/>
      <c r="S62" s="15"/>
      <c r="T62" s="15"/>
      <c r="U62" s="15"/>
      <c r="V62" s="14"/>
      <c r="W62" s="16"/>
    </row>
    <row r="63" spans="1:23" ht="16" x14ac:dyDescent="0.2">
      <c r="A63" s="11" t="s">
        <v>213</v>
      </c>
      <c r="B63" s="12">
        <f>IF(A63="","",IFERROR(INDEX('Asset Register'!$B:$B,MATCH(A63,'Asset Register'!$A:$A,0)),""))</f>
        <v>0</v>
      </c>
      <c r="C63" s="13">
        <f>IF(A63="","",IFERROR(INDEX('Asset Register'!$E:$E,MATCH(A63,'Asset Register'!$A:$A,0)),""))</f>
        <v>0</v>
      </c>
      <c r="D63" s="12">
        <f>IF(A63="","",IFERROR(INDEX('Asset Register'!$D:$D,MATCH(A63,'Asset Register'!$A:$A,0)),""))</f>
        <v>0</v>
      </c>
      <c r="E63" s="12">
        <f>IF(A63="","",IFERROR(INDEX('Asset Register'!$J:$J,MATCH(A63,'Asset Register'!$A:$A,0)),""))</f>
        <v>0</v>
      </c>
      <c r="F63" s="11"/>
      <c r="G63" s="11"/>
      <c r="H63" s="11"/>
      <c r="I63" s="11"/>
      <c r="J63" s="11"/>
      <c r="K63" s="12" t="str">
        <f>IF(COUNTA(F63:J63)=0,"",IF((COUNTIF(F63:J63,"Implemented")+COUNTIF(F63:J63,"Partial")+COUNTIF(F63:J63,"Not Implemented"))+COUNTIF(F63:J63,"??")=0,"N/A",IF((COUNTIF(F63:J63,"Implemented")+COUNTIF(F63:J63,"Partial")+COUNTIF(F63:J63,"Not Implemented"))=0,"??",IF(COUNTIF(F63:J63,"Implemented")=(COUNTIF(F63:J63,"Implemented")+COUNTIF(F63:J63,"Partial")+COUNTIF(F63:J63,"Not Implemented")),"Implemented",IF(COUNTIF(F63:J63,"Not Implemented")=(COUNTIF(F63:J63,"Implemented")+COUNTIF(F63:J63,"Partial")+COUNTIF(F63:J63,"Not Implemented")),"Not Implemented","Partial")))))</f>
        <v/>
      </c>
      <c r="L63" s="12" t="str">
        <f>IF(COUNTA(F63:J63)=0,"",(COUNTIF(F63:J63,"Implemented")+COUNTIF(F63:J63,"Partial")+COUNTIF(F63:J63,"Not Implemented")))</f>
        <v/>
      </c>
      <c r="M63" s="12" t="str">
        <f>IF(COUNTA(F63:J63)=0,"",COUNTIF(F63:J63,"??"))</f>
        <v/>
      </c>
      <c r="N63" s="12" t="str">
        <f>IF(COUNTA(F63:J63)=0,"",COUNTIF(F63:J63,"Partial")+COUNTIF(F63:J63,"Not Implemented"))</f>
        <v/>
      </c>
      <c r="O63" s="14"/>
      <c r="P63" s="14"/>
      <c r="Q63" s="15"/>
      <c r="R63" s="15"/>
      <c r="S63" s="15"/>
      <c r="T63" s="15"/>
      <c r="U63" s="15"/>
      <c r="V63" s="14"/>
      <c r="W63" s="16"/>
    </row>
    <row r="64" spans="1:23" ht="16" x14ac:dyDescent="0.2">
      <c r="A64" s="11" t="s">
        <v>214</v>
      </c>
      <c r="B64" s="12">
        <f>IF(A64="","",IFERROR(INDEX('Asset Register'!$B:$B,MATCH(A64,'Asset Register'!$A:$A,0)),""))</f>
        <v>0</v>
      </c>
      <c r="C64" s="13">
        <f>IF(A64="","",IFERROR(INDEX('Asset Register'!$E:$E,MATCH(A64,'Asset Register'!$A:$A,0)),""))</f>
        <v>0</v>
      </c>
      <c r="D64" s="12">
        <f>IF(A64="","",IFERROR(INDEX('Asset Register'!$D:$D,MATCH(A64,'Asset Register'!$A:$A,0)),""))</f>
        <v>0</v>
      </c>
      <c r="E64" s="12">
        <f>IF(A64="","",IFERROR(INDEX('Asset Register'!$J:$J,MATCH(A64,'Asset Register'!$A:$A,0)),""))</f>
        <v>0</v>
      </c>
      <c r="F64" s="11"/>
      <c r="G64" s="11"/>
      <c r="H64" s="11"/>
      <c r="I64" s="11"/>
      <c r="J64" s="11"/>
      <c r="K64" s="12" t="str">
        <f>IF(COUNTA(F64:J64)=0,"",IF((COUNTIF(F64:J64,"Implemented")+COUNTIF(F64:J64,"Partial")+COUNTIF(F64:J64,"Not Implemented"))+COUNTIF(F64:J64,"??")=0,"N/A",IF((COUNTIF(F64:J64,"Implemented")+COUNTIF(F64:J64,"Partial")+COUNTIF(F64:J64,"Not Implemented"))=0,"??",IF(COUNTIF(F64:J64,"Implemented")=(COUNTIF(F64:J64,"Implemented")+COUNTIF(F64:J64,"Partial")+COUNTIF(F64:J64,"Not Implemented")),"Implemented",IF(COUNTIF(F64:J64,"Not Implemented")=(COUNTIF(F64:J64,"Implemented")+COUNTIF(F64:J64,"Partial")+COUNTIF(F64:J64,"Not Implemented")),"Not Implemented","Partial")))))</f>
        <v/>
      </c>
      <c r="L64" s="12" t="str">
        <f>IF(COUNTA(F64:J64)=0,"",(COUNTIF(F64:J64,"Implemented")+COUNTIF(F64:J64,"Partial")+COUNTIF(F64:J64,"Not Implemented")))</f>
        <v/>
      </c>
      <c r="M64" s="12" t="str">
        <f>IF(COUNTA(F64:J64)=0,"",COUNTIF(F64:J64,"??"))</f>
        <v/>
      </c>
      <c r="N64" s="12" t="str">
        <f>IF(COUNTA(F64:J64)=0,"",COUNTIF(F64:J64,"Partial")+COUNTIF(F64:J64,"Not Implemented"))</f>
        <v/>
      </c>
      <c r="O64" s="14"/>
      <c r="P64" s="14"/>
      <c r="Q64" s="15"/>
      <c r="R64" s="15"/>
      <c r="S64" s="15"/>
      <c r="T64" s="15"/>
      <c r="U64" s="15"/>
      <c r="V64" s="14"/>
      <c r="W64" s="16"/>
    </row>
    <row r="65" spans="1:23" ht="16" x14ac:dyDescent="0.2">
      <c r="A65" s="11" t="s">
        <v>215</v>
      </c>
      <c r="B65" s="12">
        <f>IF(A65="","",IFERROR(INDEX('Asset Register'!$B:$B,MATCH(A65,'Asset Register'!$A:$A,0)),""))</f>
        <v>0</v>
      </c>
      <c r="C65" s="13">
        <f>IF(A65="","",IFERROR(INDEX('Asset Register'!$E:$E,MATCH(A65,'Asset Register'!$A:$A,0)),""))</f>
        <v>0</v>
      </c>
      <c r="D65" s="12">
        <f>IF(A65="","",IFERROR(INDEX('Asset Register'!$D:$D,MATCH(A65,'Asset Register'!$A:$A,0)),""))</f>
        <v>0</v>
      </c>
      <c r="E65" s="12">
        <f>IF(A65="","",IFERROR(INDEX('Asset Register'!$J:$J,MATCH(A65,'Asset Register'!$A:$A,0)),""))</f>
        <v>0</v>
      </c>
      <c r="F65" s="11"/>
      <c r="G65" s="11"/>
      <c r="H65" s="11"/>
      <c r="I65" s="11"/>
      <c r="J65" s="11"/>
      <c r="K65" s="12" t="str">
        <f>IF(COUNTA(F65:J65)=0,"",IF((COUNTIF(F65:J65,"Implemented")+COUNTIF(F65:J65,"Partial")+COUNTIF(F65:J65,"Not Implemented"))+COUNTIF(F65:J65,"??")=0,"N/A",IF((COUNTIF(F65:J65,"Implemented")+COUNTIF(F65:J65,"Partial")+COUNTIF(F65:J65,"Not Implemented"))=0,"??",IF(COUNTIF(F65:J65,"Implemented")=(COUNTIF(F65:J65,"Implemented")+COUNTIF(F65:J65,"Partial")+COUNTIF(F65:J65,"Not Implemented")),"Implemented",IF(COUNTIF(F65:J65,"Not Implemented")=(COUNTIF(F65:J65,"Implemented")+COUNTIF(F65:J65,"Partial")+COUNTIF(F65:J65,"Not Implemented")),"Not Implemented","Partial")))))</f>
        <v/>
      </c>
      <c r="L65" s="12" t="str">
        <f>IF(COUNTA(F65:J65)=0,"",(COUNTIF(F65:J65,"Implemented")+COUNTIF(F65:J65,"Partial")+COUNTIF(F65:J65,"Not Implemented")))</f>
        <v/>
      </c>
      <c r="M65" s="12" t="str">
        <f>IF(COUNTA(F65:J65)=0,"",COUNTIF(F65:J65,"??"))</f>
        <v/>
      </c>
      <c r="N65" s="12" t="str">
        <f>IF(COUNTA(F65:J65)=0,"",COUNTIF(F65:J65,"Partial")+COUNTIF(F65:J65,"Not Implemented"))</f>
        <v/>
      </c>
      <c r="O65" s="14"/>
      <c r="P65" s="14"/>
      <c r="Q65" s="15"/>
      <c r="R65" s="15"/>
      <c r="S65" s="15"/>
      <c r="T65" s="15"/>
      <c r="U65" s="15"/>
      <c r="V65" s="14"/>
      <c r="W65" s="16"/>
    </row>
    <row r="66" spans="1:23" ht="16" x14ac:dyDescent="0.2">
      <c r="A66" s="11" t="s">
        <v>216</v>
      </c>
      <c r="B66" s="12">
        <f>IF(A66="","",IFERROR(INDEX('Asset Register'!$B:$B,MATCH(A66,'Asset Register'!$A:$A,0)),""))</f>
        <v>0</v>
      </c>
      <c r="C66" s="13">
        <f>IF(A66="","",IFERROR(INDEX('Asset Register'!$E:$E,MATCH(A66,'Asset Register'!$A:$A,0)),""))</f>
        <v>0</v>
      </c>
      <c r="D66" s="12">
        <f>IF(A66="","",IFERROR(INDEX('Asset Register'!$D:$D,MATCH(A66,'Asset Register'!$A:$A,0)),""))</f>
        <v>0</v>
      </c>
      <c r="E66" s="12">
        <f>IF(A66="","",IFERROR(INDEX('Asset Register'!$J:$J,MATCH(A66,'Asset Register'!$A:$A,0)),""))</f>
        <v>0</v>
      </c>
      <c r="F66" s="11"/>
      <c r="G66" s="11"/>
      <c r="H66" s="11"/>
      <c r="I66" s="11"/>
      <c r="J66" s="11"/>
      <c r="K66" s="12" t="str">
        <f>IF(COUNTA(F66:J66)=0,"",IF((COUNTIF(F66:J66,"Implemented")+COUNTIF(F66:J66,"Partial")+COUNTIF(F66:J66,"Not Implemented"))+COUNTIF(F66:J66,"??")=0,"N/A",IF((COUNTIF(F66:J66,"Implemented")+COUNTIF(F66:J66,"Partial")+COUNTIF(F66:J66,"Not Implemented"))=0,"??",IF(COUNTIF(F66:J66,"Implemented")=(COUNTIF(F66:J66,"Implemented")+COUNTIF(F66:J66,"Partial")+COUNTIF(F66:J66,"Not Implemented")),"Implemented",IF(COUNTIF(F66:J66,"Not Implemented")=(COUNTIF(F66:J66,"Implemented")+COUNTIF(F66:J66,"Partial")+COUNTIF(F66:J66,"Not Implemented")),"Not Implemented","Partial")))))</f>
        <v/>
      </c>
      <c r="L66" s="12" t="str">
        <f>IF(COUNTA(F66:J66)=0,"",(COUNTIF(F66:J66,"Implemented")+COUNTIF(F66:J66,"Partial")+COUNTIF(F66:J66,"Not Implemented")))</f>
        <v/>
      </c>
      <c r="M66" s="12" t="str">
        <f>IF(COUNTA(F66:J66)=0,"",COUNTIF(F66:J66,"??"))</f>
        <v/>
      </c>
      <c r="N66" s="12" t="str">
        <f>IF(COUNTA(F66:J66)=0,"",COUNTIF(F66:J66,"Partial")+COUNTIF(F66:J66,"Not Implemented"))</f>
        <v/>
      </c>
      <c r="O66" s="14"/>
      <c r="P66" s="14"/>
      <c r="Q66" s="15"/>
      <c r="R66" s="15"/>
      <c r="S66" s="15"/>
      <c r="T66" s="15"/>
      <c r="U66" s="15"/>
      <c r="V66" s="14"/>
      <c r="W66" s="16"/>
    </row>
    <row r="67" spans="1:23" ht="16" x14ac:dyDescent="0.2">
      <c r="A67" s="11" t="s">
        <v>217</v>
      </c>
      <c r="B67" s="12">
        <f>IF(A67="","",IFERROR(INDEX('Asset Register'!$B:$B,MATCH(A67,'Asset Register'!$A:$A,0)),""))</f>
        <v>0</v>
      </c>
      <c r="C67" s="13">
        <f>IF(A67="","",IFERROR(INDEX('Asset Register'!$E:$E,MATCH(A67,'Asset Register'!$A:$A,0)),""))</f>
        <v>0</v>
      </c>
      <c r="D67" s="12">
        <f>IF(A67="","",IFERROR(INDEX('Asset Register'!$D:$D,MATCH(A67,'Asset Register'!$A:$A,0)),""))</f>
        <v>0</v>
      </c>
      <c r="E67" s="12">
        <f>IF(A67="","",IFERROR(INDEX('Asset Register'!$J:$J,MATCH(A67,'Asset Register'!$A:$A,0)),""))</f>
        <v>0</v>
      </c>
      <c r="F67" s="11"/>
      <c r="G67" s="11"/>
      <c r="H67" s="11"/>
      <c r="I67" s="11"/>
      <c r="J67" s="11"/>
      <c r="K67" s="12" t="str">
        <f>IF(COUNTA(F67:J67)=0,"",IF((COUNTIF(F67:J67,"Implemented")+COUNTIF(F67:J67,"Partial")+COUNTIF(F67:J67,"Not Implemented"))+COUNTIF(F67:J67,"??")=0,"N/A",IF((COUNTIF(F67:J67,"Implemented")+COUNTIF(F67:J67,"Partial")+COUNTIF(F67:J67,"Not Implemented"))=0,"??",IF(COUNTIF(F67:J67,"Implemented")=(COUNTIF(F67:J67,"Implemented")+COUNTIF(F67:J67,"Partial")+COUNTIF(F67:J67,"Not Implemented")),"Implemented",IF(COUNTIF(F67:J67,"Not Implemented")=(COUNTIF(F67:J67,"Implemented")+COUNTIF(F67:J67,"Partial")+COUNTIF(F67:J67,"Not Implemented")),"Not Implemented","Partial")))))</f>
        <v/>
      </c>
      <c r="L67" s="12" t="str">
        <f>IF(COUNTA(F67:J67)=0,"",(COUNTIF(F67:J67,"Implemented")+COUNTIF(F67:J67,"Partial")+COUNTIF(F67:J67,"Not Implemented")))</f>
        <v/>
      </c>
      <c r="M67" s="12" t="str">
        <f>IF(COUNTA(F67:J67)=0,"",COUNTIF(F67:J67,"??"))</f>
        <v/>
      </c>
      <c r="N67" s="12" t="str">
        <f>IF(COUNTA(F67:J67)=0,"",COUNTIF(F67:J67,"Partial")+COUNTIF(F67:J67,"Not Implemented"))</f>
        <v/>
      </c>
      <c r="O67" s="14"/>
      <c r="P67" s="14"/>
      <c r="Q67" s="15"/>
      <c r="R67" s="15"/>
      <c r="S67" s="15"/>
      <c r="T67" s="15"/>
      <c r="U67" s="15"/>
      <c r="V67" s="14"/>
      <c r="W67" s="16"/>
    </row>
    <row r="68" spans="1:23" ht="16" x14ac:dyDescent="0.2">
      <c r="A68" s="11" t="s">
        <v>218</v>
      </c>
      <c r="B68" s="12">
        <f>IF(A68="","",IFERROR(INDEX('Asset Register'!$B:$B,MATCH(A68,'Asset Register'!$A:$A,0)),""))</f>
        <v>0</v>
      </c>
      <c r="C68" s="13">
        <f>IF(A68="","",IFERROR(INDEX('Asset Register'!$E:$E,MATCH(A68,'Asset Register'!$A:$A,0)),""))</f>
        <v>0</v>
      </c>
      <c r="D68" s="12">
        <f>IF(A68="","",IFERROR(INDEX('Asset Register'!$D:$D,MATCH(A68,'Asset Register'!$A:$A,0)),""))</f>
        <v>0</v>
      </c>
      <c r="E68" s="12">
        <f>IF(A68="","",IFERROR(INDEX('Asset Register'!$J:$J,MATCH(A68,'Asset Register'!$A:$A,0)),""))</f>
        <v>0</v>
      </c>
      <c r="F68" s="11"/>
      <c r="G68" s="11"/>
      <c r="H68" s="11"/>
      <c r="I68" s="11"/>
      <c r="J68" s="11"/>
      <c r="K68" s="12" t="str">
        <f>IF(COUNTA(F68:J68)=0,"",IF((COUNTIF(F68:J68,"Implemented")+COUNTIF(F68:J68,"Partial")+COUNTIF(F68:J68,"Not Implemented"))+COUNTIF(F68:J68,"??")=0,"N/A",IF((COUNTIF(F68:J68,"Implemented")+COUNTIF(F68:J68,"Partial")+COUNTIF(F68:J68,"Not Implemented"))=0,"??",IF(COUNTIF(F68:J68,"Implemented")=(COUNTIF(F68:J68,"Implemented")+COUNTIF(F68:J68,"Partial")+COUNTIF(F68:J68,"Not Implemented")),"Implemented",IF(COUNTIF(F68:J68,"Not Implemented")=(COUNTIF(F68:J68,"Implemented")+COUNTIF(F68:J68,"Partial")+COUNTIF(F68:J68,"Not Implemented")),"Not Implemented","Partial")))))</f>
        <v/>
      </c>
      <c r="L68" s="12" t="str">
        <f>IF(COUNTA(F68:J68)=0,"",(COUNTIF(F68:J68,"Implemented")+COUNTIF(F68:J68,"Partial")+COUNTIF(F68:J68,"Not Implemented")))</f>
        <v/>
      </c>
      <c r="M68" s="12" t="str">
        <f>IF(COUNTA(F68:J68)=0,"",COUNTIF(F68:J68,"??"))</f>
        <v/>
      </c>
      <c r="N68" s="12" t="str">
        <f>IF(COUNTA(F68:J68)=0,"",COUNTIF(F68:J68,"Partial")+COUNTIF(F68:J68,"Not Implemented"))</f>
        <v/>
      </c>
      <c r="O68" s="14"/>
      <c r="P68" s="14"/>
      <c r="Q68" s="15"/>
      <c r="R68" s="15"/>
      <c r="S68" s="15"/>
      <c r="T68" s="15"/>
      <c r="U68" s="15"/>
      <c r="V68" s="14"/>
      <c r="W68" s="16"/>
    </row>
    <row r="69" spans="1:23" ht="16" x14ac:dyDescent="0.2">
      <c r="A69" s="11" t="s">
        <v>219</v>
      </c>
      <c r="B69" s="12">
        <f>IF(A69="","",IFERROR(INDEX('Asset Register'!$B:$B,MATCH(A69,'Asset Register'!$A:$A,0)),""))</f>
        <v>0</v>
      </c>
      <c r="C69" s="13">
        <f>IF(A69="","",IFERROR(INDEX('Asset Register'!$E:$E,MATCH(A69,'Asset Register'!$A:$A,0)),""))</f>
        <v>0</v>
      </c>
      <c r="D69" s="12">
        <f>IF(A69="","",IFERROR(INDEX('Asset Register'!$D:$D,MATCH(A69,'Asset Register'!$A:$A,0)),""))</f>
        <v>0</v>
      </c>
      <c r="E69" s="12">
        <f>IF(A69="","",IFERROR(INDEX('Asset Register'!$J:$J,MATCH(A69,'Asset Register'!$A:$A,0)),""))</f>
        <v>0</v>
      </c>
      <c r="F69" s="11"/>
      <c r="G69" s="11"/>
      <c r="H69" s="11"/>
      <c r="I69" s="11"/>
      <c r="J69" s="11"/>
      <c r="K69" s="12" t="str">
        <f>IF(COUNTA(F69:J69)=0,"",IF((COUNTIF(F69:J69,"Implemented")+COUNTIF(F69:J69,"Partial")+COUNTIF(F69:J69,"Not Implemented"))+COUNTIF(F69:J69,"??")=0,"N/A",IF((COUNTIF(F69:J69,"Implemented")+COUNTIF(F69:J69,"Partial")+COUNTIF(F69:J69,"Not Implemented"))=0,"??",IF(COUNTIF(F69:J69,"Implemented")=(COUNTIF(F69:J69,"Implemented")+COUNTIF(F69:J69,"Partial")+COUNTIF(F69:J69,"Not Implemented")),"Implemented",IF(COUNTIF(F69:J69,"Not Implemented")=(COUNTIF(F69:J69,"Implemented")+COUNTIF(F69:J69,"Partial")+COUNTIF(F69:J69,"Not Implemented")),"Not Implemented","Partial")))))</f>
        <v/>
      </c>
      <c r="L69" s="12" t="str">
        <f>IF(COUNTA(F69:J69)=0,"",(COUNTIF(F69:J69,"Implemented")+COUNTIF(F69:J69,"Partial")+COUNTIF(F69:J69,"Not Implemented")))</f>
        <v/>
      </c>
      <c r="M69" s="12" t="str">
        <f>IF(COUNTA(F69:J69)=0,"",COUNTIF(F69:J69,"??"))</f>
        <v/>
      </c>
      <c r="N69" s="12" t="str">
        <f>IF(COUNTA(F69:J69)=0,"",COUNTIF(F69:J69,"Partial")+COUNTIF(F69:J69,"Not Implemented"))</f>
        <v/>
      </c>
      <c r="O69" s="14"/>
      <c r="P69" s="14"/>
      <c r="Q69" s="15"/>
      <c r="R69" s="15"/>
      <c r="S69" s="15"/>
      <c r="T69" s="15"/>
      <c r="U69" s="15"/>
      <c r="V69" s="14"/>
      <c r="W69" s="16"/>
    </row>
    <row r="70" spans="1:23" ht="16" x14ac:dyDescent="0.2">
      <c r="A70" s="11" t="s">
        <v>220</v>
      </c>
      <c r="B70" s="12">
        <f>IF(A70="","",IFERROR(INDEX('Asset Register'!$B:$B,MATCH(A70,'Asset Register'!$A:$A,0)),""))</f>
        <v>0</v>
      </c>
      <c r="C70" s="13">
        <f>IF(A70="","",IFERROR(INDEX('Asset Register'!$E:$E,MATCH(A70,'Asset Register'!$A:$A,0)),""))</f>
        <v>0</v>
      </c>
      <c r="D70" s="12">
        <f>IF(A70="","",IFERROR(INDEX('Asset Register'!$D:$D,MATCH(A70,'Asset Register'!$A:$A,0)),""))</f>
        <v>0</v>
      </c>
      <c r="E70" s="12">
        <f>IF(A70="","",IFERROR(INDEX('Asset Register'!$J:$J,MATCH(A70,'Asset Register'!$A:$A,0)),""))</f>
        <v>0</v>
      </c>
      <c r="F70" s="11"/>
      <c r="G70" s="11"/>
      <c r="H70" s="11"/>
      <c r="I70" s="11"/>
      <c r="J70" s="11"/>
      <c r="K70" s="12" t="str">
        <f>IF(COUNTA(F70:J70)=0,"",IF((COUNTIF(F70:J70,"Implemented")+COUNTIF(F70:J70,"Partial")+COUNTIF(F70:J70,"Not Implemented"))+COUNTIF(F70:J70,"??")=0,"N/A",IF((COUNTIF(F70:J70,"Implemented")+COUNTIF(F70:J70,"Partial")+COUNTIF(F70:J70,"Not Implemented"))=0,"??",IF(COUNTIF(F70:J70,"Implemented")=(COUNTIF(F70:J70,"Implemented")+COUNTIF(F70:J70,"Partial")+COUNTIF(F70:J70,"Not Implemented")),"Implemented",IF(COUNTIF(F70:J70,"Not Implemented")=(COUNTIF(F70:J70,"Implemented")+COUNTIF(F70:J70,"Partial")+COUNTIF(F70:J70,"Not Implemented")),"Not Implemented","Partial")))))</f>
        <v/>
      </c>
      <c r="L70" s="12" t="str">
        <f>IF(COUNTA(F70:J70)=0,"",(COUNTIF(F70:J70,"Implemented")+COUNTIF(F70:J70,"Partial")+COUNTIF(F70:J70,"Not Implemented")))</f>
        <v/>
      </c>
      <c r="M70" s="12" t="str">
        <f>IF(COUNTA(F70:J70)=0,"",COUNTIF(F70:J70,"??"))</f>
        <v/>
      </c>
      <c r="N70" s="12" t="str">
        <f>IF(COUNTA(F70:J70)=0,"",COUNTIF(F70:J70,"Partial")+COUNTIF(F70:J70,"Not Implemented"))</f>
        <v/>
      </c>
      <c r="O70" s="14"/>
      <c r="P70" s="14"/>
      <c r="Q70" s="15"/>
      <c r="R70" s="15"/>
      <c r="S70" s="15"/>
      <c r="T70" s="15"/>
      <c r="U70" s="15"/>
      <c r="V70" s="14"/>
      <c r="W70" s="16"/>
    </row>
    <row r="71" spans="1:23" ht="16" x14ac:dyDescent="0.2">
      <c r="A71" s="11" t="s">
        <v>221</v>
      </c>
      <c r="B71" s="12">
        <f>IF(A71="","",IFERROR(INDEX('Asset Register'!$B:$B,MATCH(A71,'Asset Register'!$A:$A,0)),""))</f>
        <v>0</v>
      </c>
      <c r="C71" s="13">
        <f>IF(A71="","",IFERROR(INDEX('Asset Register'!$E:$E,MATCH(A71,'Asset Register'!$A:$A,0)),""))</f>
        <v>0</v>
      </c>
      <c r="D71" s="12">
        <f>IF(A71="","",IFERROR(INDEX('Asset Register'!$D:$D,MATCH(A71,'Asset Register'!$A:$A,0)),""))</f>
        <v>0</v>
      </c>
      <c r="E71" s="12">
        <f>IF(A71="","",IFERROR(INDEX('Asset Register'!$J:$J,MATCH(A71,'Asset Register'!$A:$A,0)),""))</f>
        <v>0</v>
      </c>
      <c r="F71" s="11"/>
      <c r="G71" s="11"/>
      <c r="H71" s="11"/>
      <c r="I71" s="11"/>
      <c r="J71" s="11"/>
      <c r="K71" s="12" t="str">
        <f>IF(COUNTA(F71:J71)=0,"",IF((COUNTIF(F71:J71,"Implemented")+COUNTIF(F71:J71,"Partial")+COUNTIF(F71:J71,"Not Implemented"))+COUNTIF(F71:J71,"??")=0,"N/A",IF((COUNTIF(F71:J71,"Implemented")+COUNTIF(F71:J71,"Partial")+COUNTIF(F71:J71,"Not Implemented"))=0,"??",IF(COUNTIF(F71:J71,"Implemented")=(COUNTIF(F71:J71,"Implemented")+COUNTIF(F71:J71,"Partial")+COUNTIF(F71:J71,"Not Implemented")),"Implemented",IF(COUNTIF(F71:J71,"Not Implemented")=(COUNTIF(F71:J71,"Implemented")+COUNTIF(F71:J71,"Partial")+COUNTIF(F71:J71,"Not Implemented")),"Not Implemented","Partial")))))</f>
        <v/>
      </c>
      <c r="L71" s="12" t="str">
        <f>IF(COUNTA(F71:J71)=0,"",(COUNTIF(F71:J71,"Implemented")+COUNTIF(F71:J71,"Partial")+COUNTIF(F71:J71,"Not Implemented")))</f>
        <v/>
      </c>
      <c r="M71" s="12" t="str">
        <f>IF(COUNTA(F71:J71)=0,"",COUNTIF(F71:J71,"??"))</f>
        <v/>
      </c>
      <c r="N71" s="12" t="str">
        <f>IF(COUNTA(F71:J71)=0,"",COUNTIF(F71:J71,"Partial")+COUNTIF(F71:J71,"Not Implemented"))</f>
        <v/>
      </c>
      <c r="O71" s="14"/>
      <c r="P71" s="14"/>
      <c r="Q71" s="15"/>
      <c r="R71" s="15"/>
      <c r="S71" s="15"/>
      <c r="T71" s="15"/>
      <c r="U71" s="15"/>
      <c r="V71" s="14"/>
      <c r="W71" s="16"/>
    </row>
    <row r="72" spans="1:23" ht="16" x14ac:dyDescent="0.2">
      <c r="A72" s="11" t="s">
        <v>222</v>
      </c>
      <c r="B72" s="12">
        <f>IF(A72="","",IFERROR(INDEX('Asset Register'!$B:$B,MATCH(A72,'Asset Register'!$A:$A,0)),""))</f>
        <v>0</v>
      </c>
      <c r="C72" s="13">
        <f>IF(A72="","",IFERROR(INDEX('Asset Register'!$E:$E,MATCH(A72,'Asset Register'!$A:$A,0)),""))</f>
        <v>0</v>
      </c>
      <c r="D72" s="12">
        <f>IF(A72="","",IFERROR(INDEX('Asset Register'!$D:$D,MATCH(A72,'Asset Register'!$A:$A,0)),""))</f>
        <v>0</v>
      </c>
      <c r="E72" s="12">
        <f>IF(A72="","",IFERROR(INDEX('Asset Register'!$J:$J,MATCH(A72,'Asset Register'!$A:$A,0)),""))</f>
        <v>0</v>
      </c>
      <c r="F72" s="11"/>
      <c r="G72" s="11"/>
      <c r="H72" s="11"/>
      <c r="I72" s="11"/>
      <c r="J72" s="11"/>
      <c r="K72" s="12" t="str">
        <f>IF(COUNTA(F72:J72)=0,"",IF((COUNTIF(F72:J72,"Implemented")+COUNTIF(F72:J72,"Partial")+COUNTIF(F72:J72,"Not Implemented"))+COUNTIF(F72:J72,"??")=0,"N/A",IF((COUNTIF(F72:J72,"Implemented")+COUNTIF(F72:J72,"Partial")+COUNTIF(F72:J72,"Not Implemented"))=0,"??",IF(COUNTIF(F72:J72,"Implemented")=(COUNTIF(F72:J72,"Implemented")+COUNTIF(F72:J72,"Partial")+COUNTIF(F72:J72,"Not Implemented")),"Implemented",IF(COUNTIF(F72:J72,"Not Implemented")=(COUNTIF(F72:J72,"Implemented")+COUNTIF(F72:J72,"Partial")+COUNTIF(F72:J72,"Not Implemented")),"Not Implemented","Partial")))))</f>
        <v/>
      </c>
      <c r="L72" s="12" t="str">
        <f>IF(COUNTA(F72:J72)=0,"",(COUNTIF(F72:J72,"Implemented")+COUNTIF(F72:J72,"Partial")+COUNTIF(F72:J72,"Not Implemented")))</f>
        <v/>
      </c>
      <c r="M72" s="12" t="str">
        <f>IF(COUNTA(F72:J72)=0,"",COUNTIF(F72:J72,"??"))</f>
        <v/>
      </c>
      <c r="N72" s="12" t="str">
        <f>IF(COUNTA(F72:J72)=0,"",COUNTIF(F72:J72,"Partial")+COUNTIF(F72:J72,"Not Implemented"))</f>
        <v/>
      </c>
      <c r="O72" s="14"/>
      <c r="P72" s="14"/>
      <c r="Q72" s="15"/>
      <c r="R72" s="15"/>
      <c r="S72" s="15"/>
      <c r="T72" s="15"/>
      <c r="U72" s="15"/>
      <c r="V72" s="14"/>
      <c r="W72" s="16"/>
    </row>
    <row r="73" spans="1:23" ht="16" x14ac:dyDescent="0.2">
      <c r="A73" s="11" t="s">
        <v>223</v>
      </c>
      <c r="B73" s="12">
        <f>IF(A73="","",IFERROR(INDEX('Asset Register'!$B:$B,MATCH(A73,'Asset Register'!$A:$A,0)),""))</f>
        <v>0</v>
      </c>
      <c r="C73" s="13">
        <f>IF(A73="","",IFERROR(INDEX('Asset Register'!$E:$E,MATCH(A73,'Asset Register'!$A:$A,0)),""))</f>
        <v>0</v>
      </c>
      <c r="D73" s="12">
        <f>IF(A73="","",IFERROR(INDEX('Asset Register'!$D:$D,MATCH(A73,'Asset Register'!$A:$A,0)),""))</f>
        <v>0</v>
      </c>
      <c r="E73" s="12">
        <f>IF(A73="","",IFERROR(INDEX('Asset Register'!$J:$J,MATCH(A73,'Asset Register'!$A:$A,0)),""))</f>
        <v>0</v>
      </c>
      <c r="F73" s="11"/>
      <c r="G73" s="11"/>
      <c r="H73" s="11"/>
      <c r="I73" s="11"/>
      <c r="J73" s="11"/>
      <c r="K73" s="12" t="str">
        <f>IF(COUNTA(F73:J73)=0,"",IF((COUNTIF(F73:J73,"Implemented")+COUNTIF(F73:J73,"Partial")+COUNTIF(F73:J73,"Not Implemented"))+COUNTIF(F73:J73,"??")=0,"N/A",IF((COUNTIF(F73:J73,"Implemented")+COUNTIF(F73:J73,"Partial")+COUNTIF(F73:J73,"Not Implemented"))=0,"??",IF(COUNTIF(F73:J73,"Implemented")=(COUNTIF(F73:J73,"Implemented")+COUNTIF(F73:J73,"Partial")+COUNTIF(F73:J73,"Not Implemented")),"Implemented",IF(COUNTIF(F73:J73,"Not Implemented")=(COUNTIF(F73:J73,"Implemented")+COUNTIF(F73:J73,"Partial")+COUNTIF(F73:J73,"Not Implemented")),"Not Implemented","Partial")))))</f>
        <v/>
      </c>
      <c r="L73" s="12" t="str">
        <f>IF(COUNTA(F73:J73)=0,"",(COUNTIF(F73:J73,"Implemented")+COUNTIF(F73:J73,"Partial")+COUNTIF(F73:J73,"Not Implemented")))</f>
        <v/>
      </c>
      <c r="M73" s="12" t="str">
        <f>IF(COUNTA(F73:J73)=0,"",COUNTIF(F73:J73,"??"))</f>
        <v/>
      </c>
      <c r="N73" s="12" t="str">
        <f>IF(COUNTA(F73:J73)=0,"",COUNTIF(F73:J73,"Partial")+COUNTIF(F73:J73,"Not Implemented"))</f>
        <v/>
      </c>
      <c r="O73" s="14"/>
      <c r="P73" s="14"/>
      <c r="Q73" s="15"/>
      <c r="R73" s="15"/>
      <c r="S73" s="15"/>
      <c r="T73" s="15"/>
      <c r="U73" s="15"/>
      <c r="V73" s="14"/>
      <c r="W73" s="16"/>
    </row>
    <row r="74" spans="1:23" ht="16" x14ac:dyDescent="0.2">
      <c r="A74" s="11" t="s">
        <v>224</v>
      </c>
      <c r="B74" s="12">
        <f>IF(A74="","",IFERROR(INDEX('Asset Register'!$B:$B,MATCH(A74,'Asset Register'!$A:$A,0)),""))</f>
        <v>0</v>
      </c>
      <c r="C74" s="13">
        <f>IF(A74="","",IFERROR(INDEX('Asset Register'!$E:$E,MATCH(A74,'Asset Register'!$A:$A,0)),""))</f>
        <v>0</v>
      </c>
      <c r="D74" s="12">
        <f>IF(A74="","",IFERROR(INDEX('Asset Register'!$D:$D,MATCH(A74,'Asset Register'!$A:$A,0)),""))</f>
        <v>0</v>
      </c>
      <c r="E74" s="12">
        <f>IF(A74="","",IFERROR(INDEX('Asset Register'!$J:$J,MATCH(A74,'Asset Register'!$A:$A,0)),""))</f>
        <v>0</v>
      </c>
      <c r="F74" s="11"/>
      <c r="G74" s="11"/>
      <c r="H74" s="11"/>
      <c r="I74" s="11"/>
      <c r="J74" s="11"/>
      <c r="K74" s="12" t="str">
        <f>IF(COUNTA(F74:J74)=0,"",IF((COUNTIF(F74:J74,"Implemented")+COUNTIF(F74:J74,"Partial")+COUNTIF(F74:J74,"Not Implemented"))+COUNTIF(F74:J74,"??")=0,"N/A",IF((COUNTIF(F74:J74,"Implemented")+COUNTIF(F74:J74,"Partial")+COUNTIF(F74:J74,"Not Implemented"))=0,"??",IF(COUNTIF(F74:J74,"Implemented")=(COUNTIF(F74:J74,"Implemented")+COUNTIF(F74:J74,"Partial")+COUNTIF(F74:J74,"Not Implemented")),"Implemented",IF(COUNTIF(F74:J74,"Not Implemented")=(COUNTIF(F74:J74,"Implemented")+COUNTIF(F74:J74,"Partial")+COUNTIF(F74:J74,"Not Implemented")),"Not Implemented","Partial")))))</f>
        <v/>
      </c>
      <c r="L74" s="12" t="str">
        <f>IF(COUNTA(F74:J74)=0,"",(COUNTIF(F74:J74,"Implemented")+COUNTIF(F74:J74,"Partial")+COUNTIF(F74:J74,"Not Implemented")))</f>
        <v/>
      </c>
      <c r="M74" s="12" t="str">
        <f>IF(COUNTA(F74:J74)=0,"",COUNTIF(F74:J74,"??"))</f>
        <v/>
      </c>
      <c r="N74" s="12" t="str">
        <f>IF(COUNTA(F74:J74)=0,"",COUNTIF(F74:J74,"Partial")+COUNTIF(F74:J74,"Not Implemented"))</f>
        <v/>
      </c>
      <c r="O74" s="14"/>
      <c r="P74" s="14"/>
      <c r="Q74" s="15"/>
      <c r="R74" s="15"/>
      <c r="S74" s="15"/>
      <c r="T74" s="15"/>
      <c r="U74" s="15"/>
      <c r="V74" s="14"/>
      <c r="W74" s="16"/>
    </row>
    <row r="75" spans="1:23" ht="16" x14ac:dyDescent="0.2">
      <c r="A75" s="11" t="s">
        <v>225</v>
      </c>
      <c r="B75" s="12">
        <f>IF(A75="","",IFERROR(INDEX('Asset Register'!$B:$B,MATCH(A75,'Asset Register'!$A:$A,0)),""))</f>
        <v>0</v>
      </c>
      <c r="C75" s="13">
        <f>IF(A75="","",IFERROR(INDEX('Asset Register'!$E:$E,MATCH(A75,'Asset Register'!$A:$A,0)),""))</f>
        <v>0</v>
      </c>
      <c r="D75" s="12">
        <f>IF(A75="","",IFERROR(INDEX('Asset Register'!$D:$D,MATCH(A75,'Asset Register'!$A:$A,0)),""))</f>
        <v>0</v>
      </c>
      <c r="E75" s="12">
        <f>IF(A75="","",IFERROR(INDEX('Asset Register'!$J:$J,MATCH(A75,'Asset Register'!$A:$A,0)),""))</f>
        <v>0</v>
      </c>
      <c r="F75" s="11"/>
      <c r="G75" s="11"/>
      <c r="H75" s="11"/>
      <c r="I75" s="11"/>
      <c r="J75" s="11"/>
      <c r="K75" s="12" t="str">
        <f>IF(COUNTA(F75:J75)=0,"",IF((COUNTIF(F75:J75,"Implemented")+COUNTIF(F75:J75,"Partial")+COUNTIF(F75:J75,"Not Implemented"))+COUNTIF(F75:J75,"??")=0,"N/A",IF((COUNTIF(F75:J75,"Implemented")+COUNTIF(F75:J75,"Partial")+COUNTIF(F75:J75,"Not Implemented"))=0,"??",IF(COUNTIF(F75:J75,"Implemented")=(COUNTIF(F75:J75,"Implemented")+COUNTIF(F75:J75,"Partial")+COUNTIF(F75:J75,"Not Implemented")),"Implemented",IF(COUNTIF(F75:J75,"Not Implemented")=(COUNTIF(F75:J75,"Implemented")+COUNTIF(F75:J75,"Partial")+COUNTIF(F75:J75,"Not Implemented")),"Not Implemented","Partial")))))</f>
        <v/>
      </c>
      <c r="L75" s="12" t="str">
        <f>IF(COUNTA(F75:J75)=0,"",(COUNTIF(F75:J75,"Implemented")+COUNTIF(F75:J75,"Partial")+COUNTIF(F75:J75,"Not Implemented")))</f>
        <v/>
      </c>
      <c r="M75" s="12" t="str">
        <f>IF(COUNTA(F75:J75)=0,"",COUNTIF(F75:J75,"??"))</f>
        <v/>
      </c>
      <c r="N75" s="12" t="str">
        <f>IF(COUNTA(F75:J75)=0,"",COUNTIF(F75:J75,"Partial")+COUNTIF(F75:J75,"Not Implemented"))</f>
        <v/>
      </c>
      <c r="O75" s="14"/>
      <c r="P75" s="14"/>
      <c r="Q75" s="15"/>
      <c r="R75" s="15"/>
      <c r="S75" s="15"/>
      <c r="T75" s="15"/>
      <c r="U75" s="15"/>
      <c r="V75" s="14"/>
      <c r="W75" s="16"/>
    </row>
    <row r="76" spans="1:23" ht="16" x14ac:dyDescent="0.2">
      <c r="A76" s="11" t="s">
        <v>226</v>
      </c>
      <c r="B76" s="12">
        <f>IF(A76="","",IFERROR(INDEX('Asset Register'!$B:$B,MATCH(A76,'Asset Register'!$A:$A,0)),""))</f>
        <v>0</v>
      </c>
      <c r="C76" s="13">
        <f>IF(A76="","",IFERROR(INDEX('Asset Register'!$E:$E,MATCH(A76,'Asset Register'!$A:$A,0)),""))</f>
        <v>0</v>
      </c>
      <c r="D76" s="12">
        <f>IF(A76="","",IFERROR(INDEX('Asset Register'!$D:$D,MATCH(A76,'Asset Register'!$A:$A,0)),""))</f>
        <v>0</v>
      </c>
      <c r="E76" s="12">
        <f>IF(A76="","",IFERROR(INDEX('Asset Register'!$J:$J,MATCH(A76,'Asset Register'!$A:$A,0)),""))</f>
        <v>0</v>
      </c>
      <c r="F76" s="11"/>
      <c r="G76" s="11"/>
      <c r="H76" s="11"/>
      <c r="I76" s="11"/>
      <c r="J76" s="11"/>
      <c r="K76" s="12" t="str">
        <f>IF(COUNTA(F76:J76)=0,"",IF((COUNTIF(F76:J76,"Implemented")+COUNTIF(F76:J76,"Partial")+COUNTIF(F76:J76,"Not Implemented"))+COUNTIF(F76:J76,"??")=0,"N/A",IF((COUNTIF(F76:J76,"Implemented")+COUNTIF(F76:J76,"Partial")+COUNTIF(F76:J76,"Not Implemented"))=0,"??",IF(COUNTIF(F76:J76,"Implemented")=(COUNTIF(F76:J76,"Implemented")+COUNTIF(F76:J76,"Partial")+COUNTIF(F76:J76,"Not Implemented")),"Implemented",IF(COUNTIF(F76:J76,"Not Implemented")=(COUNTIF(F76:J76,"Implemented")+COUNTIF(F76:J76,"Partial")+COUNTIF(F76:J76,"Not Implemented")),"Not Implemented","Partial")))))</f>
        <v/>
      </c>
      <c r="L76" s="12" t="str">
        <f>IF(COUNTA(F76:J76)=0,"",(COUNTIF(F76:J76,"Implemented")+COUNTIF(F76:J76,"Partial")+COUNTIF(F76:J76,"Not Implemented")))</f>
        <v/>
      </c>
      <c r="M76" s="12" t="str">
        <f>IF(COUNTA(F76:J76)=0,"",COUNTIF(F76:J76,"??"))</f>
        <v/>
      </c>
      <c r="N76" s="12" t="str">
        <f>IF(COUNTA(F76:J76)=0,"",COUNTIF(F76:J76,"Partial")+COUNTIF(F76:J76,"Not Implemented"))</f>
        <v/>
      </c>
      <c r="O76" s="14"/>
      <c r="P76" s="14"/>
      <c r="Q76" s="15"/>
      <c r="R76" s="15"/>
      <c r="S76" s="15"/>
      <c r="T76" s="15"/>
      <c r="U76" s="15"/>
      <c r="V76" s="14"/>
      <c r="W76" s="16"/>
    </row>
    <row r="77" spans="1:23" ht="16" x14ac:dyDescent="0.2">
      <c r="A77" s="11" t="s">
        <v>227</v>
      </c>
      <c r="B77" s="12">
        <f>IF(A77="","",IFERROR(INDEX('Asset Register'!$B:$B,MATCH(A77,'Asset Register'!$A:$A,0)),""))</f>
        <v>0</v>
      </c>
      <c r="C77" s="13">
        <f>IF(A77="","",IFERROR(INDEX('Asset Register'!$E:$E,MATCH(A77,'Asset Register'!$A:$A,0)),""))</f>
        <v>0</v>
      </c>
      <c r="D77" s="12">
        <f>IF(A77="","",IFERROR(INDEX('Asset Register'!$D:$D,MATCH(A77,'Asset Register'!$A:$A,0)),""))</f>
        <v>0</v>
      </c>
      <c r="E77" s="12">
        <f>IF(A77="","",IFERROR(INDEX('Asset Register'!$J:$J,MATCH(A77,'Asset Register'!$A:$A,0)),""))</f>
        <v>0</v>
      </c>
      <c r="F77" s="11"/>
      <c r="G77" s="11"/>
      <c r="H77" s="11"/>
      <c r="I77" s="11"/>
      <c r="J77" s="11"/>
      <c r="K77" s="12" t="str">
        <f>IF(COUNTA(F77:J77)=0,"",IF((COUNTIF(F77:J77,"Implemented")+COUNTIF(F77:J77,"Partial")+COUNTIF(F77:J77,"Not Implemented"))+COUNTIF(F77:J77,"??")=0,"N/A",IF((COUNTIF(F77:J77,"Implemented")+COUNTIF(F77:J77,"Partial")+COUNTIF(F77:J77,"Not Implemented"))=0,"??",IF(COUNTIF(F77:J77,"Implemented")=(COUNTIF(F77:J77,"Implemented")+COUNTIF(F77:J77,"Partial")+COUNTIF(F77:J77,"Not Implemented")),"Implemented",IF(COUNTIF(F77:J77,"Not Implemented")=(COUNTIF(F77:J77,"Implemented")+COUNTIF(F77:J77,"Partial")+COUNTIF(F77:J77,"Not Implemented")),"Not Implemented","Partial")))))</f>
        <v/>
      </c>
      <c r="L77" s="12" t="str">
        <f>IF(COUNTA(F77:J77)=0,"",(COUNTIF(F77:J77,"Implemented")+COUNTIF(F77:J77,"Partial")+COUNTIF(F77:J77,"Not Implemented")))</f>
        <v/>
      </c>
      <c r="M77" s="12" t="str">
        <f>IF(COUNTA(F77:J77)=0,"",COUNTIF(F77:J77,"??"))</f>
        <v/>
      </c>
      <c r="N77" s="12" t="str">
        <f>IF(COUNTA(F77:J77)=0,"",COUNTIF(F77:J77,"Partial")+COUNTIF(F77:J77,"Not Implemented"))</f>
        <v/>
      </c>
      <c r="O77" s="14"/>
      <c r="P77" s="14"/>
      <c r="Q77" s="15"/>
      <c r="R77" s="15"/>
      <c r="S77" s="15"/>
      <c r="T77" s="15"/>
      <c r="U77" s="15"/>
      <c r="V77" s="14"/>
      <c r="W77" s="16"/>
    </row>
    <row r="78" spans="1:23" ht="16" x14ac:dyDescent="0.2">
      <c r="A78" s="11" t="s">
        <v>228</v>
      </c>
      <c r="B78" s="12">
        <f>IF(A78="","",IFERROR(INDEX('Asset Register'!$B:$B,MATCH(A78,'Asset Register'!$A:$A,0)),""))</f>
        <v>0</v>
      </c>
      <c r="C78" s="13">
        <f>IF(A78="","",IFERROR(INDEX('Asset Register'!$E:$E,MATCH(A78,'Asset Register'!$A:$A,0)),""))</f>
        <v>0</v>
      </c>
      <c r="D78" s="12">
        <f>IF(A78="","",IFERROR(INDEX('Asset Register'!$D:$D,MATCH(A78,'Asset Register'!$A:$A,0)),""))</f>
        <v>0</v>
      </c>
      <c r="E78" s="12">
        <f>IF(A78="","",IFERROR(INDEX('Asset Register'!$J:$J,MATCH(A78,'Asset Register'!$A:$A,0)),""))</f>
        <v>0</v>
      </c>
      <c r="F78" s="11"/>
      <c r="G78" s="11"/>
      <c r="H78" s="11"/>
      <c r="I78" s="11"/>
      <c r="J78" s="11"/>
      <c r="K78" s="12" t="str">
        <f>IF(COUNTA(F78:J78)=0,"",IF((COUNTIF(F78:J78,"Implemented")+COUNTIF(F78:J78,"Partial")+COUNTIF(F78:J78,"Not Implemented"))+COUNTIF(F78:J78,"??")=0,"N/A",IF((COUNTIF(F78:J78,"Implemented")+COUNTIF(F78:J78,"Partial")+COUNTIF(F78:J78,"Not Implemented"))=0,"??",IF(COUNTIF(F78:J78,"Implemented")=(COUNTIF(F78:J78,"Implemented")+COUNTIF(F78:J78,"Partial")+COUNTIF(F78:J78,"Not Implemented")),"Implemented",IF(COUNTIF(F78:J78,"Not Implemented")=(COUNTIF(F78:J78,"Implemented")+COUNTIF(F78:J78,"Partial")+COUNTIF(F78:J78,"Not Implemented")),"Not Implemented","Partial")))))</f>
        <v/>
      </c>
      <c r="L78" s="12" t="str">
        <f>IF(COUNTA(F78:J78)=0,"",(COUNTIF(F78:J78,"Implemented")+COUNTIF(F78:J78,"Partial")+COUNTIF(F78:J78,"Not Implemented")))</f>
        <v/>
      </c>
      <c r="M78" s="12" t="str">
        <f>IF(COUNTA(F78:J78)=0,"",COUNTIF(F78:J78,"??"))</f>
        <v/>
      </c>
      <c r="N78" s="12" t="str">
        <f>IF(COUNTA(F78:J78)=0,"",COUNTIF(F78:J78,"Partial")+COUNTIF(F78:J78,"Not Implemented"))</f>
        <v/>
      </c>
      <c r="O78" s="14"/>
      <c r="P78" s="14"/>
      <c r="Q78" s="15"/>
      <c r="R78" s="15"/>
      <c r="S78" s="15"/>
      <c r="T78" s="15"/>
      <c r="U78" s="15"/>
      <c r="V78" s="14"/>
      <c r="W78" s="16"/>
    </row>
    <row r="79" spans="1:23" ht="16" x14ac:dyDescent="0.2">
      <c r="A79" s="11" t="s">
        <v>229</v>
      </c>
      <c r="B79" s="12">
        <f>IF(A79="","",IFERROR(INDEX('Asset Register'!$B:$B,MATCH(A79,'Asset Register'!$A:$A,0)),""))</f>
        <v>0</v>
      </c>
      <c r="C79" s="13">
        <f>IF(A79="","",IFERROR(INDEX('Asset Register'!$E:$E,MATCH(A79,'Asset Register'!$A:$A,0)),""))</f>
        <v>0</v>
      </c>
      <c r="D79" s="12">
        <f>IF(A79="","",IFERROR(INDEX('Asset Register'!$D:$D,MATCH(A79,'Asset Register'!$A:$A,0)),""))</f>
        <v>0</v>
      </c>
      <c r="E79" s="12">
        <f>IF(A79="","",IFERROR(INDEX('Asset Register'!$J:$J,MATCH(A79,'Asset Register'!$A:$A,0)),""))</f>
        <v>0</v>
      </c>
      <c r="F79" s="11"/>
      <c r="G79" s="11"/>
      <c r="H79" s="11"/>
      <c r="I79" s="11"/>
      <c r="J79" s="11"/>
      <c r="K79" s="12" t="str">
        <f>IF(COUNTA(F79:J79)=0,"",IF((COUNTIF(F79:J79,"Implemented")+COUNTIF(F79:J79,"Partial")+COUNTIF(F79:J79,"Not Implemented"))+COUNTIF(F79:J79,"??")=0,"N/A",IF((COUNTIF(F79:J79,"Implemented")+COUNTIF(F79:J79,"Partial")+COUNTIF(F79:J79,"Not Implemented"))=0,"??",IF(COUNTIF(F79:J79,"Implemented")=(COUNTIF(F79:J79,"Implemented")+COUNTIF(F79:J79,"Partial")+COUNTIF(F79:J79,"Not Implemented")),"Implemented",IF(COUNTIF(F79:J79,"Not Implemented")=(COUNTIF(F79:J79,"Implemented")+COUNTIF(F79:J79,"Partial")+COUNTIF(F79:J79,"Not Implemented")),"Not Implemented","Partial")))))</f>
        <v/>
      </c>
      <c r="L79" s="12" t="str">
        <f>IF(COUNTA(F79:J79)=0,"",(COUNTIF(F79:J79,"Implemented")+COUNTIF(F79:J79,"Partial")+COUNTIF(F79:J79,"Not Implemented")))</f>
        <v/>
      </c>
      <c r="M79" s="12" t="str">
        <f>IF(COUNTA(F79:J79)=0,"",COUNTIF(F79:J79,"??"))</f>
        <v/>
      </c>
      <c r="N79" s="12" t="str">
        <f>IF(COUNTA(F79:J79)=0,"",COUNTIF(F79:J79,"Partial")+COUNTIF(F79:J79,"Not Implemented"))</f>
        <v/>
      </c>
      <c r="O79" s="14"/>
      <c r="P79" s="14"/>
      <c r="Q79" s="15"/>
      <c r="R79" s="15"/>
      <c r="S79" s="15"/>
      <c r="T79" s="15"/>
      <c r="U79" s="15"/>
      <c r="V79" s="14"/>
      <c r="W79" s="16"/>
    </row>
    <row r="80" spans="1:23" ht="16" x14ac:dyDescent="0.2">
      <c r="A80" s="11" t="s">
        <v>230</v>
      </c>
      <c r="B80" s="12">
        <f>IF(A80="","",IFERROR(INDEX('Asset Register'!$B:$B,MATCH(A80,'Asset Register'!$A:$A,0)),""))</f>
        <v>0</v>
      </c>
      <c r="C80" s="13">
        <f>IF(A80="","",IFERROR(INDEX('Asset Register'!$E:$E,MATCH(A80,'Asset Register'!$A:$A,0)),""))</f>
        <v>0</v>
      </c>
      <c r="D80" s="12">
        <f>IF(A80="","",IFERROR(INDEX('Asset Register'!$D:$D,MATCH(A80,'Asset Register'!$A:$A,0)),""))</f>
        <v>0</v>
      </c>
      <c r="E80" s="12">
        <f>IF(A80="","",IFERROR(INDEX('Asset Register'!$J:$J,MATCH(A80,'Asset Register'!$A:$A,0)),""))</f>
        <v>0</v>
      </c>
      <c r="F80" s="11"/>
      <c r="G80" s="11"/>
      <c r="H80" s="11"/>
      <c r="I80" s="11"/>
      <c r="J80" s="11"/>
      <c r="K80" s="12" t="str">
        <f>IF(COUNTA(F80:J80)=0,"",IF((COUNTIF(F80:J80,"Implemented")+COUNTIF(F80:J80,"Partial")+COUNTIF(F80:J80,"Not Implemented"))+COUNTIF(F80:J80,"??")=0,"N/A",IF((COUNTIF(F80:J80,"Implemented")+COUNTIF(F80:J80,"Partial")+COUNTIF(F80:J80,"Not Implemented"))=0,"??",IF(COUNTIF(F80:J80,"Implemented")=(COUNTIF(F80:J80,"Implemented")+COUNTIF(F80:J80,"Partial")+COUNTIF(F80:J80,"Not Implemented")),"Implemented",IF(COUNTIF(F80:J80,"Not Implemented")=(COUNTIF(F80:J80,"Implemented")+COUNTIF(F80:J80,"Partial")+COUNTIF(F80:J80,"Not Implemented")),"Not Implemented","Partial")))))</f>
        <v/>
      </c>
      <c r="L80" s="12" t="str">
        <f>IF(COUNTA(F80:J80)=0,"",(COUNTIF(F80:J80,"Implemented")+COUNTIF(F80:J80,"Partial")+COUNTIF(F80:J80,"Not Implemented")))</f>
        <v/>
      </c>
      <c r="M80" s="12" t="str">
        <f>IF(COUNTA(F80:J80)=0,"",COUNTIF(F80:J80,"??"))</f>
        <v/>
      </c>
      <c r="N80" s="12" t="str">
        <f>IF(COUNTA(F80:J80)=0,"",COUNTIF(F80:J80,"Partial")+COUNTIF(F80:J80,"Not Implemented"))</f>
        <v/>
      </c>
      <c r="O80" s="14"/>
      <c r="P80" s="14"/>
      <c r="Q80" s="15"/>
      <c r="R80" s="15"/>
      <c r="S80" s="15"/>
      <c r="T80" s="15"/>
      <c r="U80" s="15"/>
      <c r="V80" s="14"/>
      <c r="W80" s="16"/>
    </row>
    <row r="81" spans="1:23" ht="16" x14ac:dyDescent="0.2">
      <c r="A81" s="11" t="s">
        <v>231</v>
      </c>
      <c r="B81" s="12">
        <f>IF(A81="","",IFERROR(INDEX('Asset Register'!$B:$B,MATCH(A81,'Asset Register'!$A:$A,0)),""))</f>
        <v>0</v>
      </c>
      <c r="C81" s="13">
        <f>IF(A81="","",IFERROR(INDEX('Asset Register'!$E:$E,MATCH(A81,'Asset Register'!$A:$A,0)),""))</f>
        <v>0</v>
      </c>
      <c r="D81" s="12">
        <f>IF(A81="","",IFERROR(INDEX('Asset Register'!$D:$D,MATCH(A81,'Asset Register'!$A:$A,0)),""))</f>
        <v>0</v>
      </c>
      <c r="E81" s="12">
        <f>IF(A81="","",IFERROR(INDEX('Asset Register'!$J:$J,MATCH(A81,'Asset Register'!$A:$A,0)),""))</f>
        <v>0</v>
      </c>
      <c r="F81" s="11"/>
      <c r="G81" s="11"/>
      <c r="H81" s="11"/>
      <c r="I81" s="11"/>
      <c r="J81" s="11"/>
      <c r="K81" s="12" t="str">
        <f>IF(COUNTA(F81:J81)=0,"",IF((COUNTIF(F81:J81,"Implemented")+COUNTIF(F81:J81,"Partial")+COUNTIF(F81:J81,"Not Implemented"))+COUNTIF(F81:J81,"??")=0,"N/A",IF((COUNTIF(F81:J81,"Implemented")+COUNTIF(F81:J81,"Partial")+COUNTIF(F81:J81,"Not Implemented"))=0,"??",IF(COUNTIF(F81:J81,"Implemented")=(COUNTIF(F81:J81,"Implemented")+COUNTIF(F81:J81,"Partial")+COUNTIF(F81:J81,"Not Implemented")),"Implemented",IF(COUNTIF(F81:J81,"Not Implemented")=(COUNTIF(F81:J81,"Implemented")+COUNTIF(F81:J81,"Partial")+COUNTIF(F81:J81,"Not Implemented")),"Not Implemented","Partial")))))</f>
        <v/>
      </c>
      <c r="L81" s="12" t="str">
        <f>IF(COUNTA(F81:J81)=0,"",(COUNTIF(F81:J81,"Implemented")+COUNTIF(F81:J81,"Partial")+COUNTIF(F81:J81,"Not Implemented")))</f>
        <v/>
      </c>
      <c r="M81" s="12" t="str">
        <f>IF(COUNTA(F81:J81)=0,"",COUNTIF(F81:J81,"??"))</f>
        <v/>
      </c>
      <c r="N81" s="12" t="str">
        <f>IF(COUNTA(F81:J81)=0,"",COUNTIF(F81:J81,"Partial")+COUNTIF(F81:J81,"Not Implemented"))</f>
        <v/>
      </c>
      <c r="O81" s="14"/>
      <c r="P81" s="14"/>
      <c r="Q81" s="15"/>
      <c r="R81" s="15"/>
      <c r="S81" s="15"/>
      <c r="T81" s="15"/>
      <c r="U81" s="15"/>
      <c r="V81" s="14"/>
      <c r="W81" s="16"/>
    </row>
    <row r="82" spans="1:23" ht="16" x14ac:dyDescent="0.2">
      <c r="A82" s="11" t="s">
        <v>232</v>
      </c>
      <c r="B82" s="12">
        <f>IF(A82="","",IFERROR(INDEX('Asset Register'!$B:$B,MATCH(A82,'Asset Register'!$A:$A,0)),""))</f>
        <v>0</v>
      </c>
      <c r="C82" s="13">
        <f>IF(A82="","",IFERROR(INDEX('Asset Register'!$E:$E,MATCH(A82,'Asset Register'!$A:$A,0)),""))</f>
        <v>0</v>
      </c>
      <c r="D82" s="12">
        <f>IF(A82="","",IFERROR(INDEX('Asset Register'!$D:$D,MATCH(A82,'Asset Register'!$A:$A,0)),""))</f>
        <v>0</v>
      </c>
      <c r="E82" s="12">
        <f>IF(A82="","",IFERROR(INDEX('Asset Register'!$J:$J,MATCH(A82,'Asset Register'!$A:$A,0)),""))</f>
        <v>0</v>
      </c>
      <c r="F82" s="11"/>
      <c r="G82" s="11"/>
      <c r="H82" s="11"/>
      <c r="I82" s="11"/>
      <c r="J82" s="11"/>
      <c r="K82" s="12" t="str">
        <f>IF(COUNTA(F82:J82)=0,"",IF((COUNTIF(F82:J82,"Implemented")+COUNTIF(F82:J82,"Partial")+COUNTIF(F82:J82,"Not Implemented"))+COUNTIF(F82:J82,"??")=0,"N/A",IF((COUNTIF(F82:J82,"Implemented")+COUNTIF(F82:J82,"Partial")+COUNTIF(F82:J82,"Not Implemented"))=0,"??",IF(COUNTIF(F82:J82,"Implemented")=(COUNTIF(F82:J82,"Implemented")+COUNTIF(F82:J82,"Partial")+COUNTIF(F82:J82,"Not Implemented")),"Implemented",IF(COUNTIF(F82:J82,"Not Implemented")=(COUNTIF(F82:J82,"Implemented")+COUNTIF(F82:J82,"Partial")+COUNTIF(F82:J82,"Not Implemented")),"Not Implemented","Partial")))))</f>
        <v/>
      </c>
      <c r="L82" s="12" t="str">
        <f>IF(COUNTA(F82:J82)=0,"",(COUNTIF(F82:J82,"Implemented")+COUNTIF(F82:J82,"Partial")+COUNTIF(F82:J82,"Not Implemented")))</f>
        <v/>
      </c>
      <c r="M82" s="12" t="str">
        <f>IF(COUNTA(F82:J82)=0,"",COUNTIF(F82:J82,"??"))</f>
        <v/>
      </c>
      <c r="N82" s="12" t="str">
        <f>IF(COUNTA(F82:J82)=0,"",COUNTIF(F82:J82,"Partial")+COUNTIF(F82:J82,"Not Implemented"))</f>
        <v/>
      </c>
      <c r="O82" s="14"/>
      <c r="P82" s="14"/>
      <c r="Q82" s="15"/>
      <c r="R82" s="15"/>
      <c r="S82" s="15"/>
      <c r="T82" s="15"/>
      <c r="U82" s="15"/>
      <c r="V82" s="14"/>
      <c r="W82" s="16"/>
    </row>
    <row r="83" spans="1:23" ht="16" x14ac:dyDescent="0.2">
      <c r="A83" s="11" t="s">
        <v>233</v>
      </c>
      <c r="B83" s="12">
        <f>IF(A83="","",IFERROR(INDEX('Asset Register'!$B:$B,MATCH(A83,'Asset Register'!$A:$A,0)),""))</f>
        <v>0</v>
      </c>
      <c r="C83" s="13">
        <f>IF(A83="","",IFERROR(INDEX('Asset Register'!$E:$E,MATCH(A83,'Asset Register'!$A:$A,0)),""))</f>
        <v>0</v>
      </c>
      <c r="D83" s="12">
        <f>IF(A83="","",IFERROR(INDEX('Asset Register'!$D:$D,MATCH(A83,'Asset Register'!$A:$A,0)),""))</f>
        <v>0</v>
      </c>
      <c r="E83" s="12">
        <f>IF(A83="","",IFERROR(INDEX('Asset Register'!$J:$J,MATCH(A83,'Asset Register'!$A:$A,0)),""))</f>
        <v>0</v>
      </c>
      <c r="F83" s="11"/>
      <c r="G83" s="11"/>
      <c r="H83" s="11"/>
      <c r="I83" s="11"/>
      <c r="J83" s="11"/>
      <c r="K83" s="12" t="str">
        <f>IF(COUNTA(F83:J83)=0,"",IF((COUNTIF(F83:J83,"Implemented")+COUNTIF(F83:J83,"Partial")+COUNTIF(F83:J83,"Not Implemented"))+COUNTIF(F83:J83,"??")=0,"N/A",IF((COUNTIF(F83:J83,"Implemented")+COUNTIF(F83:J83,"Partial")+COUNTIF(F83:J83,"Not Implemented"))=0,"??",IF(COUNTIF(F83:J83,"Implemented")=(COUNTIF(F83:J83,"Implemented")+COUNTIF(F83:J83,"Partial")+COUNTIF(F83:J83,"Not Implemented")),"Implemented",IF(COUNTIF(F83:J83,"Not Implemented")=(COUNTIF(F83:J83,"Implemented")+COUNTIF(F83:J83,"Partial")+COUNTIF(F83:J83,"Not Implemented")),"Not Implemented","Partial")))))</f>
        <v/>
      </c>
      <c r="L83" s="12" t="str">
        <f>IF(COUNTA(F83:J83)=0,"",(COUNTIF(F83:J83,"Implemented")+COUNTIF(F83:J83,"Partial")+COUNTIF(F83:J83,"Not Implemented")))</f>
        <v/>
      </c>
      <c r="M83" s="12" t="str">
        <f>IF(COUNTA(F83:J83)=0,"",COUNTIF(F83:J83,"??"))</f>
        <v/>
      </c>
      <c r="N83" s="12" t="str">
        <f>IF(COUNTA(F83:J83)=0,"",COUNTIF(F83:J83,"Partial")+COUNTIF(F83:J83,"Not Implemented"))</f>
        <v/>
      </c>
      <c r="O83" s="14"/>
      <c r="P83" s="14"/>
      <c r="Q83" s="15"/>
      <c r="R83" s="15"/>
      <c r="S83" s="15"/>
      <c r="T83" s="15"/>
      <c r="U83" s="15"/>
      <c r="V83" s="14"/>
      <c r="W83" s="16"/>
    </row>
    <row r="84" spans="1:23" ht="16" x14ac:dyDescent="0.2">
      <c r="A84" s="11" t="s">
        <v>234</v>
      </c>
      <c r="B84" s="12">
        <f>IF(A84="","",IFERROR(INDEX('Asset Register'!$B:$B,MATCH(A84,'Asset Register'!$A:$A,0)),""))</f>
        <v>0</v>
      </c>
      <c r="C84" s="13">
        <f>IF(A84="","",IFERROR(INDEX('Asset Register'!$E:$E,MATCH(A84,'Asset Register'!$A:$A,0)),""))</f>
        <v>0</v>
      </c>
      <c r="D84" s="12">
        <f>IF(A84="","",IFERROR(INDEX('Asset Register'!$D:$D,MATCH(A84,'Asset Register'!$A:$A,0)),""))</f>
        <v>0</v>
      </c>
      <c r="E84" s="12">
        <f>IF(A84="","",IFERROR(INDEX('Asset Register'!$J:$J,MATCH(A84,'Asset Register'!$A:$A,0)),""))</f>
        <v>0</v>
      </c>
      <c r="F84" s="11"/>
      <c r="G84" s="11"/>
      <c r="H84" s="11"/>
      <c r="I84" s="11"/>
      <c r="J84" s="11"/>
      <c r="K84" s="12" t="str">
        <f>IF(COUNTA(F84:J84)=0,"",IF((COUNTIF(F84:J84,"Implemented")+COUNTIF(F84:J84,"Partial")+COUNTIF(F84:J84,"Not Implemented"))+COUNTIF(F84:J84,"??")=0,"N/A",IF((COUNTIF(F84:J84,"Implemented")+COUNTIF(F84:J84,"Partial")+COUNTIF(F84:J84,"Not Implemented"))=0,"??",IF(COUNTIF(F84:J84,"Implemented")=(COUNTIF(F84:J84,"Implemented")+COUNTIF(F84:J84,"Partial")+COUNTIF(F84:J84,"Not Implemented")),"Implemented",IF(COUNTIF(F84:J84,"Not Implemented")=(COUNTIF(F84:J84,"Implemented")+COUNTIF(F84:J84,"Partial")+COUNTIF(F84:J84,"Not Implemented")),"Not Implemented","Partial")))))</f>
        <v/>
      </c>
      <c r="L84" s="12" t="str">
        <f>IF(COUNTA(F84:J84)=0,"",(COUNTIF(F84:J84,"Implemented")+COUNTIF(F84:J84,"Partial")+COUNTIF(F84:J84,"Not Implemented")))</f>
        <v/>
      </c>
      <c r="M84" s="12" t="str">
        <f>IF(COUNTA(F84:J84)=0,"",COUNTIF(F84:J84,"??"))</f>
        <v/>
      </c>
      <c r="N84" s="12" t="str">
        <f>IF(COUNTA(F84:J84)=0,"",COUNTIF(F84:J84,"Partial")+COUNTIF(F84:J84,"Not Implemented"))</f>
        <v/>
      </c>
      <c r="O84" s="14"/>
      <c r="P84" s="14"/>
      <c r="Q84" s="15"/>
      <c r="R84" s="15"/>
      <c r="S84" s="15"/>
      <c r="T84" s="15"/>
      <c r="U84" s="15"/>
      <c r="V84" s="14"/>
      <c r="W84" s="16"/>
    </row>
    <row r="85" spans="1:23" ht="16" x14ac:dyDescent="0.2">
      <c r="A85" s="11" t="s">
        <v>235</v>
      </c>
      <c r="B85" s="12">
        <f>IF(A85="","",IFERROR(INDEX('Asset Register'!$B:$B,MATCH(A85,'Asset Register'!$A:$A,0)),""))</f>
        <v>0</v>
      </c>
      <c r="C85" s="13">
        <f>IF(A85="","",IFERROR(INDEX('Asset Register'!$E:$E,MATCH(A85,'Asset Register'!$A:$A,0)),""))</f>
        <v>0</v>
      </c>
      <c r="D85" s="12">
        <f>IF(A85="","",IFERROR(INDEX('Asset Register'!$D:$D,MATCH(A85,'Asset Register'!$A:$A,0)),""))</f>
        <v>0</v>
      </c>
      <c r="E85" s="12">
        <f>IF(A85="","",IFERROR(INDEX('Asset Register'!$J:$J,MATCH(A85,'Asset Register'!$A:$A,0)),""))</f>
        <v>0</v>
      </c>
      <c r="F85" s="11"/>
      <c r="G85" s="11"/>
      <c r="H85" s="11"/>
      <c r="I85" s="11"/>
      <c r="J85" s="11"/>
      <c r="K85" s="12" t="str">
        <f>IF(COUNTA(F85:J85)=0,"",IF((COUNTIF(F85:J85,"Implemented")+COUNTIF(F85:J85,"Partial")+COUNTIF(F85:J85,"Not Implemented"))+COUNTIF(F85:J85,"??")=0,"N/A",IF((COUNTIF(F85:J85,"Implemented")+COUNTIF(F85:J85,"Partial")+COUNTIF(F85:J85,"Not Implemented"))=0,"??",IF(COUNTIF(F85:J85,"Implemented")=(COUNTIF(F85:J85,"Implemented")+COUNTIF(F85:J85,"Partial")+COUNTIF(F85:J85,"Not Implemented")),"Implemented",IF(COUNTIF(F85:J85,"Not Implemented")=(COUNTIF(F85:J85,"Implemented")+COUNTIF(F85:J85,"Partial")+COUNTIF(F85:J85,"Not Implemented")),"Not Implemented","Partial")))))</f>
        <v/>
      </c>
      <c r="L85" s="12" t="str">
        <f>IF(COUNTA(F85:J85)=0,"",(COUNTIF(F85:J85,"Implemented")+COUNTIF(F85:J85,"Partial")+COUNTIF(F85:J85,"Not Implemented")))</f>
        <v/>
      </c>
      <c r="M85" s="12" t="str">
        <f>IF(COUNTA(F85:J85)=0,"",COUNTIF(F85:J85,"??"))</f>
        <v/>
      </c>
      <c r="N85" s="12" t="str">
        <f>IF(COUNTA(F85:J85)=0,"",COUNTIF(F85:J85,"Partial")+COUNTIF(F85:J85,"Not Implemented"))</f>
        <v/>
      </c>
      <c r="O85" s="14"/>
      <c r="P85" s="14"/>
      <c r="Q85" s="15"/>
      <c r="R85" s="15"/>
      <c r="S85" s="15"/>
      <c r="T85" s="15"/>
      <c r="U85" s="15"/>
      <c r="V85" s="14"/>
      <c r="W85" s="16"/>
    </row>
    <row r="86" spans="1:23" ht="16" x14ac:dyDescent="0.2">
      <c r="A86" s="11" t="s">
        <v>236</v>
      </c>
      <c r="B86" s="12">
        <f>IF(A86="","",IFERROR(INDEX('Asset Register'!$B:$B,MATCH(A86,'Asset Register'!$A:$A,0)),""))</f>
        <v>0</v>
      </c>
      <c r="C86" s="13">
        <f>IF(A86="","",IFERROR(INDEX('Asset Register'!$E:$E,MATCH(A86,'Asset Register'!$A:$A,0)),""))</f>
        <v>0</v>
      </c>
      <c r="D86" s="12">
        <f>IF(A86="","",IFERROR(INDEX('Asset Register'!$D:$D,MATCH(A86,'Asset Register'!$A:$A,0)),""))</f>
        <v>0</v>
      </c>
      <c r="E86" s="12">
        <f>IF(A86="","",IFERROR(INDEX('Asset Register'!$J:$J,MATCH(A86,'Asset Register'!$A:$A,0)),""))</f>
        <v>0</v>
      </c>
      <c r="F86" s="11"/>
      <c r="G86" s="11"/>
      <c r="H86" s="11"/>
      <c r="I86" s="11"/>
      <c r="J86" s="11"/>
      <c r="K86" s="12" t="str">
        <f>IF(COUNTA(F86:J86)=0,"",IF((COUNTIF(F86:J86,"Implemented")+COUNTIF(F86:J86,"Partial")+COUNTIF(F86:J86,"Not Implemented"))+COUNTIF(F86:J86,"??")=0,"N/A",IF((COUNTIF(F86:J86,"Implemented")+COUNTIF(F86:J86,"Partial")+COUNTIF(F86:J86,"Not Implemented"))=0,"??",IF(COUNTIF(F86:J86,"Implemented")=(COUNTIF(F86:J86,"Implemented")+COUNTIF(F86:J86,"Partial")+COUNTIF(F86:J86,"Not Implemented")),"Implemented",IF(COUNTIF(F86:J86,"Not Implemented")=(COUNTIF(F86:J86,"Implemented")+COUNTIF(F86:J86,"Partial")+COUNTIF(F86:J86,"Not Implemented")),"Not Implemented","Partial")))))</f>
        <v/>
      </c>
      <c r="L86" s="12" t="str">
        <f>IF(COUNTA(F86:J86)=0,"",(COUNTIF(F86:J86,"Implemented")+COUNTIF(F86:J86,"Partial")+COUNTIF(F86:J86,"Not Implemented")))</f>
        <v/>
      </c>
      <c r="M86" s="12" t="str">
        <f>IF(COUNTA(F86:J86)=0,"",COUNTIF(F86:J86,"??"))</f>
        <v/>
      </c>
      <c r="N86" s="12" t="str">
        <f>IF(COUNTA(F86:J86)=0,"",COUNTIF(F86:J86,"Partial")+COUNTIF(F86:J86,"Not Implemented"))</f>
        <v/>
      </c>
      <c r="O86" s="14"/>
      <c r="P86" s="14"/>
      <c r="Q86" s="15"/>
      <c r="R86" s="15"/>
      <c r="S86" s="15"/>
      <c r="T86" s="15"/>
      <c r="U86" s="15"/>
      <c r="V86" s="14"/>
      <c r="W86" s="16"/>
    </row>
    <row r="87" spans="1:23" ht="16" x14ac:dyDescent="0.2">
      <c r="A87" s="11" t="s">
        <v>237</v>
      </c>
      <c r="B87" s="12">
        <f>IF(A87="","",IFERROR(INDEX('Asset Register'!$B:$B,MATCH(A87,'Asset Register'!$A:$A,0)),""))</f>
        <v>0</v>
      </c>
      <c r="C87" s="13">
        <f>IF(A87="","",IFERROR(INDEX('Asset Register'!$E:$E,MATCH(A87,'Asset Register'!$A:$A,0)),""))</f>
        <v>0</v>
      </c>
      <c r="D87" s="12">
        <f>IF(A87="","",IFERROR(INDEX('Asset Register'!$D:$D,MATCH(A87,'Asset Register'!$A:$A,0)),""))</f>
        <v>0</v>
      </c>
      <c r="E87" s="12">
        <f>IF(A87="","",IFERROR(INDEX('Asset Register'!$J:$J,MATCH(A87,'Asset Register'!$A:$A,0)),""))</f>
        <v>0</v>
      </c>
      <c r="F87" s="11"/>
      <c r="G87" s="11"/>
      <c r="H87" s="11"/>
      <c r="I87" s="11"/>
      <c r="J87" s="11"/>
      <c r="K87" s="12" t="str">
        <f>IF(COUNTA(F87:J87)=0,"",IF((COUNTIF(F87:J87,"Implemented")+COUNTIF(F87:J87,"Partial")+COUNTIF(F87:J87,"Not Implemented"))+COUNTIF(F87:J87,"??")=0,"N/A",IF((COUNTIF(F87:J87,"Implemented")+COUNTIF(F87:J87,"Partial")+COUNTIF(F87:J87,"Not Implemented"))=0,"??",IF(COUNTIF(F87:J87,"Implemented")=(COUNTIF(F87:J87,"Implemented")+COUNTIF(F87:J87,"Partial")+COUNTIF(F87:J87,"Not Implemented")),"Implemented",IF(COUNTIF(F87:J87,"Not Implemented")=(COUNTIF(F87:J87,"Implemented")+COUNTIF(F87:J87,"Partial")+COUNTIF(F87:J87,"Not Implemented")),"Not Implemented","Partial")))))</f>
        <v/>
      </c>
      <c r="L87" s="12" t="str">
        <f>IF(COUNTA(F87:J87)=0,"",(COUNTIF(F87:J87,"Implemented")+COUNTIF(F87:J87,"Partial")+COUNTIF(F87:J87,"Not Implemented")))</f>
        <v/>
      </c>
      <c r="M87" s="12" t="str">
        <f>IF(COUNTA(F87:J87)=0,"",COUNTIF(F87:J87,"??"))</f>
        <v/>
      </c>
      <c r="N87" s="12" t="str">
        <f>IF(COUNTA(F87:J87)=0,"",COUNTIF(F87:J87,"Partial")+COUNTIF(F87:J87,"Not Implemented"))</f>
        <v/>
      </c>
      <c r="O87" s="14"/>
      <c r="P87" s="14"/>
      <c r="Q87" s="15"/>
      <c r="R87" s="15"/>
      <c r="S87" s="15"/>
      <c r="T87" s="15"/>
      <c r="U87" s="15"/>
      <c r="V87" s="14"/>
      <c r="W87" s="16"/>
    </row>
    <row r="88" spans="1:23" ht="16" x14ac:dyDescent="0.2">
      <c r="A88" s="11" t="s">
        <v>238</v>
      </c>
      <c r="B88" s="12">
        <f>IF(A88="","",IFERROR(INDEX('Asset Register'!$B:$B,MATCH(A88,'Asset Register'!$A:$A,0)),""))</f>
        <v>0</v>
      </c>
      <c r="C88" s="13">
        <f>IF(A88="","",IFERROR(INDEX('Asset Register'!$E:$E,MATCH(A88,'Asset Register'!$A:$A,0)),""))</f>
        <v>0</v>
      </c>
      <c r="D88" s="12">
        <f>IF(A88="","",IFERROR(INDEX('Asset Register'!$D:$D,MATCH(A88,'Asset Register'!$A:$A,0)),""))</f>
        <v>0</v>
      </c>
      <c r="E88" s="12">
        <f>IF(A88="","",IFERROR(INDEX('Asset Register'!$J:$J,MATCH(A88,'Asset Register'!$A:$A,0)),""))</f>
        <v>0</v>
      </c>
      <c r="F88" s="11"/>
      <c r="G88" s="11"/>
      <c r="H88" s="11"/>
      <c r="I88" s="11"/>
      <c r="J88" s="11"/>
      <c r="K88" s="12" t="str">
        <f>IF(COUNTA(F88:J88)=0,"",IF((COUNTIF(F88:J88,"Implemented")+COUNTIF(F88:J88,"Partial")+COUNTIF(F88:J88,"Not Implemented"))+COUNTIF(F88:J88,"??")=0,"N/A",IF((COUNTIF(F88:J88,"Implemented")+COUNTIF(F88:J88,"Partial")+COUNTIF(F88:J88,"Not Implemented"))=0,"??",IF(COUNTIF(F88:J88,"Implemented")=(COUNTIF(F88:J88,"Implemented")+COUNTIF(F88:J88,"Partial")+COUNTIF(F88:J88,"Not Implemented")),"Implemented",IF(COUNTIF(F88:J88,"Not Implemented")=(COUNTIF(F88:J88,"Implemented")+COUNTIF(F88:J88,"Partial")+COUNTIF(F88:J88,"Not Implemented")),"Not Implemented","Partial")))))</f>
        <v/>
      </c>
      <c r="L88" s="12" t="str">
        <f>IF(COUNTA(F88:J88)=0,"",(COUNTIF(F88:J88,"Implemented")+COUNTIF(F88:J88,"Partial")+COUNTIF(F88:J88,"Not Implemented")))</f>
        <v/>
      </c>
      <c r="M88" s="12" t="str">
        <f>IF(COUNTA(F88:J88)=0,"",COUNTIF(F88:J88,"??"))</f>
        <v/>
      </c>
      <c r="N88" s="12" t="str">
        <f>IF(COUNTA(F88:J88)=0,"",COUNTIF(F88:J88,"Partial")+COUNTIF(F88:J88,"Not Implemented"))</f>
        <v/>
      </c>
      <c r="O88" s="14"/>
      <c r="P88" s="14"/>
      <c r="Q88" s="15"/>
      <c r="R88" s="15"/>
      <c r="S88" s="15"/>
      <c r="T88" s="15"/>
      <c r="U88" s="15"/>
      <c r="V88" s="14"/>
      <c r="W88" s="16"/>
    </row>
    <row r="89" spans="1:23" ht="16" x14ac:dyDescent="0.2">
      <c r="A89" s="11" t="s">
        <v>239</v>
      </c>
      <c r="B89" s="12">
        <f>IF(A89="","",IFERROR(INDEX('Asset Register'!$B:$B,MATCH(A89,'Asset Register'!$A:$A,0)),""))</f>
        <v>0</v>
      </c>
      <c r="C89" s="13">
        <f>IF(A89="","",IFERROR(INDEX('Asset Register'!$E:$E,MATCH(A89,'Asset Register'!$A:$A,0)),""))</f>
        <v>0</v>
      </c>
      <c r="D89" s="12">
        <f>IF(A89="","",IFERROR(INDEX('Asset Register'!$D:$D,MATCH(A89,'Asset Register'!$A:$A,0)),""))</f>
        <v>0</v>
      </c>
      <c r="E89" s="12">
        <f>IF(A89="","",IFERROR(INDEX('Asset Register'!$J:$J,MATCH(A89,'Asset Register'!$A:$A,0)),""))</f>
        <v>0</v>
      </c>
      <c r="F89" s="11"/>
      <c r="G89" s="11"/>
      <c r="H89" s="11"/>
      <c r="I89" s="11"/>
      <c r="J89" s="11"/>
      <c r="K89" s="12" t="str">
        <f>IF(COUNTA(F89:J89)=0,"",IF((COUNTIF(F89:J89,"Implemented")+COUNTIF(F89:J89,"Partial")+COUNTIF(F89:J89,"Not Implemented"))+COUNTIF(F89:J89,"??")=0,"N/A",IF((COUNTIF(F89:J89,"Implemented")+COUNTIF(F89:J89,"Partial")+COUNTIF(F89:J89,"Not Implemented"))=0,"??",IF(COUNTIF(F89:J89,"Implemented")=(COUNTIF(F89:J89,"Implemented")+COUNTIF(F89:J89,"Partial")+COUNTIF(F89:J89,"Not Implemented")),"Implemented",IF(COUNTIF(F89:J89,"Not Implemented")=(COUNTIF(F89:J89,"Implemented")+COUNTIF(F89:J89,"Partial")+COUNTIF(F89:J89,"Not Implemented")),"Not Implemented","Partial")))))</f>
        <v/>
      </c>
      <c r="L89" s="12" t="str">
        <f>IF(COUNTA(F89:J89)=0,"",(COUNTIF(F89:J89,"Implemented")+COUNTIF(F89:J89,"Partial")+COUNTIF(F89:J89,"Not Implemented")))</f>
        <v/>
      </c>
      <c r="M89" s="12" t="str">
        <f>IF(COUNTA(F89:J89)=0,"",COUNTIF(F89:J89,"??"))</f>
        <v/>
      </c>
      <c r="N89" s="12" t="str">
        <f>IF(COUNTA(F89:J89)=0,"",COUNTIF(F89:J89,"Partial")+COUNTIF(F89:J89,"Not Implemented"))</f>
        <v/>
      </c>
      <c r="O89" s="14"/>
      <c r="P89" s="14"/>
      <c r="Q89" s="15"/>
      <c r="R89" s="15"/>
      <c r="S89" s="15"/>
      <c r="T89" s="15"/>
      <c r="U89" s="15"/>
      <c r="V89" s="14"/>
      <c r="W89" s="16"/>
    </row>
  </sheetData>
  <autoFilter ref="A4:W89" xr:uid="{00000000-0009-0000-0000-000002000000}"/>
  <conditionalFormatting sqref="E5:E89">
    <cfRule type="expression" dxfId="8" priority="11">
      <formula>E5="Critical"</formula>
    </cfRule>
    <cfRule type="expression" dxfId="7" priority="12">
      <formula>E5="High"</formula>
    </cfRule>
    <cfRule type="expression" dxfId="6" priority="13">
      <formula>E5="Medium"</formula>
    </cfRule>
    <cfRule type="expression" dxfId="5" priority="14">
      <formula>E5="Low"</formula>
    </cfRule>
  </conditionalFormatting>
  <conditionalFormatting sqref="F5:K89">
    <cfRule type="expression" dxfId="4" priority="1">
      <formula>F5="Implemented"</formula>
    </cfRule>
    <cfRule type="expression" dxfId="3" priority="2">
      <formula>F5="Partial"</formula>
    </cfRule>
    <cfRule type="expression" dxfId="2" priority="3">
      <formula>F5="Not Implemented"</formula>
    </cfRule>
    <cfRule type="expression" dxfId="1" priority="4">
      <formula>F5="N/A"</formula>
    </cfRule>
    <cfRule type="expression" dxfId="0" priority="5">
      <formula>F5="??"</formula>
    </cfRule>
  </conditionalFormatting>
  <dataValidations count="1">
    <dataValidation type="list" allowBlank="1" sqref="F5:J89" xr:uid="{00000000-0002-0000-0200-000000000000}">
      <formula1>"Implemented,Partial,Not Implemented,N/A,??"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
  <sheetViews>
    <sheetView tabSelected="1" workbookViewId="0">
      <pane ySplit="3" topLeftCell="A4" activePane="bottomLeft" state="frozen"/>
      <selection pane="bottomLeft" activeCell="D38" sqref="D38"/>
    </sheetView>
  </sheetViews>
  <sheetFormatPr baseColWidth="10" defaultColWidth="8.83203125" defaultRowHeight="15" x14ac:dyDescent="0.2"/>
  <cols>
    <col min="1" max="1" width="16" customWidth="1"/>
    <col min="2" max="2" width="60" customWidth="1"/>
    <col min="3" max="3" width="10" customWidth="1"/>
    <col min="4" max="4" width="13" customWidth="1"/>
    <col min="5" max="5" width="10" customWidth="1"/>
    <col min="6" max="6" width="15" customWidth="1"/>
    <col min="7" max="7" width="8" customWidth="1"/>
    <col min="8" max="8" width="13" customWidth="1"/>
    <col min="9" max="9" width="8" customWidth="1"/>
    <col min="10" max="11" width="12" customWidth="1"/>
  </cols>
  <sheetData>
    <row r="1" spans="1:11" ht="19" x14ac:dyDescent="0.25">
      <c r="A1" s="8" t="s">
        <v>567</v>
      </c>
    </row>
    <row r="2" spans="1:11" x14ac:dyDescent="0.2">
      <c r="A2" s="9" t="s">
        <v>568</v>
      </c>
    </row>
    <row r="4" spans="1:11" x14ac:dyDescent="0.2">
      <c r="A4" s="17" t="s">
        <v>569</v>
      </c>
    </row>
    <row r="5" spans="1:11" ht="16" x14ac:dyDescent="0.2">
      <c r="A5" s="10" t="s">
        <v>570</v>
      </c>
      <c r="B5" s="10" t="s">
        <v>243</v>
      </c>
      <c r="C5" s="10" t="s">
        <v>571</v>
      </c>
      <c r="D5" s="10" t="s">
        <v>572</v>
      </c>
      <c r="E5" s="10" t="s">
        <v>55</v>
      </c>
      <c r="F5" s="10" t="s">
        <v>573</v>
      </c>
      <c r="G5" s="10" t="s">
        <v>29</v>
      </c>
      <c r="H5" s="10" t="s">
        <v>574</v>
      </c>
      <c r="I5" s="10" t="s">
        <v>575</v>
      </c>
      <c r="J5" s="10" t="s">
        <v>576</v>
      </c>
      <c r="K5" s="10" t="s">
        <v>577</v>
      </c>
    </row>
    <row r="6" spans="1:11" ht="16" x14ac:dyDescent="0.2">
      <c r="A6" s="13" t="s">
        <v>578</v>
      </c>
      <c r="B6" s="13" t="s">
        <v>579</v>
      </c>
      <c r="C6" s="12">
        <f>D6+E6+F6+H6</f>
        <v>147</v>
      </c>
      <c r="D6" s="12">
        <f>COUNTIF('Protect Assessment'!$F$5:$M$89,"Implemented")</f>
        <v>56</v>
      </c>
      <c r="E6" s="12">
        <f>COUNTIF('Protect Assessment'!$F$5:$M$89,"Partial")</f>
        <v>79</v>
      </c>
      <c r="F6" s="12">
        <f>COUNTIF('Protect Assessment'!$F$5:$M$89,"Not Implemented")</f>
        <v>12</v>
      </c>
      <c r="G6" s="12">
        <f>COUNTIF('Protect Assessment'!$F$5:$M$89,"N/A")</f>
        <v>229</v>
      </c>
      <c r="H6" s="12">
        <f>COUNTIF('Protect Assessment'!$F$5:$M$89,"??")</f>
        <v>0</v>
      </c>
      <c r="I6" s="12">
        <f>E6+F6</f>
        <v>91</v>
      </c>
      <c r="J6" s="18">
        <f>IF(C6=0,0,(C6-H6)/C6)</f>
        <v>1</v>
      </c>
      <c r="K6" s="18">
        <f>IF(D6+E6+F6=0,"-",(D6+0.5*E6)/(D6+E6+F6))</f>
        <v>0.64965986394557829</v>
      </c>
    </row>
    <row r="7" spans="1:11" ht="16" x14ac:dyDescent="0.2">
      <c r="A7" s="13" t="s">
        <v>580</v>
      </c>
      <c r="B7" s="13" t="s">
        <v>581</v>
      </c>
      <c r="C7" s="12">
        <f>D7+E7+F7+H7</f>
        <v>70</v>
      </c>
      <c r="D7" s="12">
        <f>COUNTIF('Detect Assessment'!$F$5:$J$89,"Implemented")</f>
        <v>21</v>
      </c>
      <c r="E7" s="12">
        <f>COUNTIF('Detect Assessment'!$F$5:$J$89,"Partial")</f>
        <v>21</v>
      </c>
      <c r="F7" s="12">
        <f>COUNTIF('Detect Assessment'!$F$5:$J$89,"Not Implemented")</f>
        <v>26</v>
      </c>
      <c r="G7" s="12">
        <f>COUNTIF('Detect Assessment'!$F$5:$J$89,"N/A")</f>
        <v>165</v>
      </c>
      <c r="H7" s="12">
        <f>COUNTIF('Detect Assessment'!$F$5:$J$89,"??")</f>
        <v>2</v>
      </c>
      <c r="I7" s="12">
        <f>E7+F7</f>
        <v>47</v>
      </c>
      <c r="J7" s="18">
        <f>IF(C7=0,0,(C7-H7)/C7)</f>
        <v>0.97142857142857142</v>
      </c>
      <c r="K7" s="18">
        <f>IF(D7+E7+F7=0,"-",(D7+0.5*E7)/(D7+E7+F7))</f>
        <v>0.46323529411764708</v>
      </c>
    </row>
    <row r="8" spans="1:11" ht="16" x14ac:dyDescent="0.2">
      <c r="A8" s="19" t="s">
        <v>582</v>
      </c>
      <c r="B8" s="19" t="s">
        <v>583</v>
      </c>
      <c r="C8" s="20">
        <f t="shared" ref="C8:I8" si="0">C6+C7</f>
        <v>217</v>
      </c>
      <c r="D8" s="20">
        <f t="shared" si="0"/>
        <v>77</v>
      </c>
      <c r="E8" s="20">
        <f t="shared" si="0"/>
        <v>100</v>
      </c>
      <c r="F8" s="20">
        <f t="shared" si="0"/>
        <v>38</v>
      </c>
      <c r="G8" s="20">
        <f t="shared" si="0"/>
        <v>394</v>
      </c>
      <c r="H8" s="20">
        <f t="shared" si="0"/>
        <v>2</v>
      </c>
      <c r="I8" s="20">
        <f t="shared" si="0"/>
        <v>138</v>
      </c>
      <c r="J8" s="21">
        <f>IF(C8=0,0,(C8-H8)/C8)</f>
        <v>0.99078341013824889</v>
      </c>
      <c r="K8" s="21">
        <f>IF(D8+E8+F8=0,"-",(D8+0.5*E8)/(D8+E8+F8))</f>
        <v>0.59069767441860466</v>
      </c>
    </row>
    <row r="11" spans="1:11" x14ac:dyDescent="0.2">
      <c r="A11" s="17" t="s">
        <v>584</v>
      </c>
    </row>
    <row r="12" spans="1:11" ht="16" x14ac:dyDescent="0.2">
      <c r="A12" s="10" t="s">
        <v>570</v>
      </c>
      <c r="B12" s="10" t="s">
        <v>243</v>
      </c>
      <c r="C12" s="10" t="s">
        <v>571</v>
      </c>
      <c r="D12" s="10" t="s">
        <v>572</v>
      </c>
      <c r="E12" s="10" t="s">
        <v>55</v>
      </c>
      <c r="F12" s="10" t="s">
        <v>573</v>
      </c>
      <c r="G12" s="10" t="s">
        <v>29</v>
      </c>
      <c r="H12" s="10" t="s">
        <v>574</v>
      </c>
      <c r="I12" s="10" t="s">
        <v>575</v>
      </c>
      <c r="J12" s="10" t="s">
        <v>576</v>
      </c>
      <c r="K12" s="10" t="s">
        <v>577</v>
      </c>
    </row>
    <row r="13" spans="1:11" ht="32" x14ac:dyDescent="0.2">
      <c r="A13" s="13" t="s">
        <v>585</v>
      </c>
      <c r="B13" s="13" t="s">
        <v>586</v>
      </c>
      <c r="C13" s="12">
        <f t="shared" ref="C13:C25" si="1">D13+E13+F13+H13</f>
        <v>32</v>
      </c>
      <c r="D13" s="12">
        <f>COUNTIF('Protect Assessment'!$F$5:$F$89,"Implemented")</f>
        <v>8</v>
      </c>
      <c r="E13" s="12">
        <f>COUNTIF('Protect Assessment'!$F$5:$F$89,"Partial")</f>
        <v>23</v>
      </c>
      <c r="F13" s="12">
        <f>COUNTIF('Protect Assessment'!$F$5:$F$89,"Not Implemented")</f>
        <v>1</v>
      </c>
      <c r="G13" s="12">
        <f>COUNTIF('Protect Assessment'!$F$5:$F$89,"N/A")</f>
        <v>15</v>
      </c>
      <c r="H13" s="12">
        <f>COUNTIF('Protect Assessment'!$F$5:$F$89,"??")</f>
        <v>0</v>
      </c>
      <c r="I13" s="12">
        <f t="shared" ref="I13:I25" si="2">E13+F13</f>
        <v>24</v>
      </c>
      <c r="J13" s="18">
        <f t="shared" ref="J13:J25" si="3">IF(C13=0,0,(C13-H13)/C13)</f>
        <v>1</v>
      </c>
      <c r="K13" s="18">
        <f t="shared" ref="K13:K25" si="4">IF(D13+E13+F13=0,"-",(D13+0.5*E13)/(D13+E13+F13))</f>
        <v>0.609375</v>
      </c>
    </row>
    <row r="14" spans="1:11" ht="16" x14ac:dyDescent="0.2">
      <c r="A14" s="13" t="s">
        <v>587</v>
      </c>
      <c r="B14" s="13" t="s">
        <v>588</v>
      </c>
      <c r="C14" s="12">
        <f t="shared" si="1"/>
        <v>34</v>
      </c>
      <c r="D14" s="12">
        <f>COUNTIF('Protect Assessment'!$G$5:$G$89,"Implemented")</f>
        <v>20</v>
      </c>
      <c r="E14" s="12">
        <f>COUNTIF('Protect Assessment'!$G$5:$G$89,"Partial")</f>
        <v>13</v>
      </c>
      <c r="F14" s="12">
        <f>COUNTIF('Protect Assessment'!$G$5:$G$89,"Not Implemented")</f>
        <v>1</v>
      </c>
      <c r="G14" s="12">
        <f>COUNTIF('Protect Assessment'!$G$5:$G$89,"N/A")</f>
        <v>13</v>
      </c>
      <c r="H14" s="12">
        <f>COUNTIF('Protect Assessment'!$G$5:$G$89,"??")</f>
        <v>0</v>
      </c>
      <c r="I14" s="12">
        <f t="shared" si="2"/>
        <v>14</v>
      </c>
      <c r="J14" s="18">
        <f t="shared" si="3"/>
        <v>1</v>
      </c>
      <c r="K14" s="18">
        <f t="shared" si="4"/>
        <v>0.77941176470588236</v>
      </c>
    </row>
    <row r="15" spans="1:11" ht="48" x14ac:dyDescent="0.2">
      <c r="A15" s="13" t="s">
        <v>589</v>
      </c>
      <c r="B15" s="13" t="s">
        <v>590</v>
      </c>
      <c r="C15" s="12">
        <f t="shared" si="1"/>
        <v>37</v>
      </c>
      <c r="D15" s="12">
        <f>COUNTIF('Protect Assessment'!$H$5:$H$89,"Implemented")</f>
        <v>10</v>
      </c>
      <c r="E15" s="12">
        <f>COUNTIF('Protect Assessment'!$H$5:$H$89,"Partial")</f>
        <v>27</v>
      </c>
      <c r="F15" s="12">
        <f>COUNTIF('Protect Assessment'!$H$5:$H$89,"Not Implemented")</f>
        <v>0</v>
      </c>
      <c r="G15" s="12">
        <f>COUNTIF('Protect Assessment'!$H$5:$H$89,"N/A")</f>
        <v>10</v>
      </c>
      <c r="H15" s="12">
        <f>COUNTIF('Protect Assessment'!$H$5:$H$89,"??")</f>
        <v>0</v>
      </c>
      <c r="I15" s="12">
        <f t="shared" si="2"/>
        <v>27</v>
      </c>
      <c r="J15" s="18">
        <f t="shared" si="3"/>
        <v>1</v>
      </c>
      <c r="K15" s="18">
        <f t="shared" si="4"/>
        <v>0.63513513513513509</v>
      </c>
    </row>
    <row r="16" spans="1:11" ht="32" x14ac:dyDescent="0.2">
      <c r="A16" s="13" t="s">
        <v>591</v>
      </c>
      <c r="B16" s="13" t="s">
        <v>592</v>
      </c>
      <c r="C16" s="12">
        <f t="shared" si="1"/>
        <v>15</v>
      </c>
      <c r="D16" s="12">
        <f>COUNTIF('Protect Assessment'!$I$5:$I$89,"Implemented")</f>
        <v>8</v>
      </c>
      <c r="E16" s="12">
        <f>COUNTIF('Protect Assessment'!$I$5:$I$89,"Partial")</f>
        <v>6</v>
      </c>
      <c r="F16" s="12">
        <f>COUNTIF('Protect Assessment'!$I$5:$I$89,"Not Implemented")</f>
        <v>1</v>
      </c>
      <c r="G16" s="12">
        <f>COUNTIF('Protect Assessment'!$I$5:$I$89,"N/A")</f>
        <v>32</v>
      </c>
      <c r="H16" s="12">
        <f>COUNTIF('Protect Assessment'!$I$5:$I$89,"??")</f>
        <v>0</v>
      </c>
      <c r="I16" s="12">
        <f t="shared" si="2"/>
        <v>7</v>
      </c>
      <c r="J16" s="18">
        <f t="shared" si="3"/>
        <v>1</v>
      </c>
      <c r="K16" s="18">
        <f t="shared" si="4"/>
        <v>0.73333333333333328</v>
      </c>
    </row>
    <row r="17" spans="1:11" ht="32" x14ac:dyDescent="0.2">
      <c r="A17" s="13" t="s">
        <v>593</v>
      </c>
      <c r="B17" s="13" t="s">
        <v>594</v>
      </c>
      <c r="C17" s="12">
        <f t="shared" si="1"/>
        <v>7</v>
      </c>
      <c r="D17" s="12">
        <f>COUNTIF('Protect Assessment'!$J$5:$J$89,"Implemented")</f>
        <v>3</v>
      </c>
      <c r="E17" s="12">
        <f>COUNTIF('Protect Assessment'!$J$5:$J$89,"Partial")</f>
        <v>1</v>
      </c>
      <c r="F17" s="12">
        <f>COUNTIF('Protect Assessment'!$J$5:$J$89,"Not Implemented")</f>
        <v>3</v>
      </c>
      <c r="G17" s="12">
        <f>COUNTIF('Protect Assessment'!$J$5:$J$89,"N/A")</f>
        <v>40</v>
      </c>
      <c r="H17" s="12">
        <f>COUNTIF('Protect Assessment'!$J$5:$J$89,"??")</f>
        <v>0</v>
      </c>
      <c r="I17" s="12">
        <f t="shared" si="2"/>
        <v>4</v>
      </c>
      <c r="J17" s="18">
        <f t="shared" si="3"/>
        <v>1</v>
      </c>
      <c r="K17" s="18">
        <f t="shared" si="4"/>
        <v>0.5</v>
      </c>
    </row>
    <row r="18" spans="1:11" ht="16" x14ac:dyDescent="0.2">
      <c r="A18" s="13" t="s">
        <v>595</v>
      </c>
      <c r="B18" s="13" t="s">
        <v>596</v>
      </c>
      <c r="C18" s="12">
        <f t="shared" si="1"/>
        <v>13</v>
      </c>
      <c r="D18" s="12">
        <f>COUNTIF('Protect Assessment'!$K$5:$K$89,"Implemented")</f>
        <v>5</v>
      </c>
      <c r="E18" s="12">
        <f>COUNTIF('Protect Assessment'!$K$5:$K$89,"Partial")</f>
        <v>3</v>
      </c>
      <c r="F18" s="12">
        <f>COUNTIF('Protect Assessment'!$K$5:$K$89,"Not Implemented")</f>
        <v>5</v>
      </c>
      <c r="G18" s="12">
        <f>COUNTIF('Protect Assessment'!$K$5:$K$89,"N/A")</f>
        <v>34</v>
      </c>
      <c r="H18" s="12">
        <f>COUNTIF('Protect Assessment'!$K$5:$K$89,"??")</f>
        <v>0</v>
      </c>
      <c r="I18" s="12">
        <f t="shared" si="2"/>
        <v>8</v>
      </c>
      <c r="J18" s="18">
        <f t="shared" si="3"/>
        <v>1</v>
      </c>
      <c r="K18" s="18">
        <f t="shared" si="4"/>
        <v>0.5</v>
      </c>
    </row>
    <row r="19" spans="1:11" ht="32" x14ac:dyDescent="0.2">
      <c r="A19" s="13" t="s">
        <v>597</v>
      </c>
      <c r="B19" s="13" t="s">
        <v>598</v>
      </c>
      <c r="C19" s="12">
        <f t="shared" si="1"/>
        <v>5</v>
      </c>
      <c r="D19" s="12">
        <f>COUNTIF('Protect Assessment'!$L$5:$L$89,"Implemented")</f>
        <v>1</v>
      </c>
      <c r="E19" s="12">
        <f>COUNTIF('Protect Assessment'!$L$5:$L$89,"Partial")</f>
        <v>3</v>
      </c>
      <c r="F19" s="12">
        <f>COUNTIF('Protect Assessment'!$L$5:$L$89,"Not Implemented")</f>
        <v>1</v>
      </c>
      <c r="G19" s="12">
        <f>COUNTIF('Protect Assessment'!$L$5:$L$89,"N/A")</f>
        <v>42</v>
      </c>
      <c r="H19" s="12">
        <f>COUNTIF('Protect Assessment'!$L$5:$L$89,"??")</f>
        <v>0</v>
      </c>
      <c r="I19" s="12">
        <f t="shared" si="2"/>
        <v>4</v>
      </c>
      <c r="J19" s="18">
        <f t="shared" si="3"/>
        <v>1</v>
      </c>
      <c r="K19" s="18">
        <f t="shared" si="4"/>
        <v>0.5</v>
      </c>
    </row>
    <row r="20" spans="1:11" ht="32" x14ac:dyDescent="0.2">
      <c r="A20" s="13" t="s">
        <v>599</v>
      </c>
      <c r="B20" s="13" t="s">
        <v>600</v>
      </c>
      <c r="C20" s="12">
        <f t="shared" si="1"/>
        <v>4</v>
      </c>
      <c r="D20" s="12">
        <f>COUNTIF('Protect Assessment'!$M$5:$M$89,"Implemented")</f>
        <v>1</v>
      </c>
      <c r="E20" s="12">
        <f>COUNTIF('Protect Assessment'!$M$5:$M$89,"Partial")</f>
        <v>3</v>
      </c>
      <c r="F20" s="12">
        <f>COUNTIF('Protect Assessment'!$M$5:$M$89,"Not Implemented")</f>
        <v>0</v>
      </c>
      <c r="G20" s="12">
        <f>COUNTIF('Protect Assessment'!$M$5:$M$89,"N/A")</f>
        <v>43</v>
      </c>
      <c r="H20" s="12">
        <f>COUNTIF('Protect Assessment'!$M$5:$M$89,"??")</f>
        <v>0</v>
      </c>
      <c r="I20" s="12">
        <f t="shared" si="2"/>
        <v>3</v>
      </c>
      <c r="J20" s="18">
        <f t="shared" si="3"/>
        <v>1</v>
      </c>
      <c r="K20" s="18">
        <f t="shared" si="4"/>
        <v>0.625</v>
      </c>
    </row>
    <row r="21" spans="1:11" ht="32" x14ac:dyDescent="0.2">
      <c r="A21" s="13" t="s">
        <v>601</v>
      </c>
      <c r="B21" s="13" t="s">
        <v>602</v>
      </c>
      <c r="C21" s="12">
        <f t="shared" si="1"/>
        <v>4</v>
      </c>
      <c r="D21" s="12">
        <f>COUNTIF('Detect Assessment'!$F$5:$F$89,"Implemented")</f>
        <v>0</v>
      </c>
      <c r="E21" s="12">
        <f>COUNTIF('Detect Assessment'!$F$5:$F$89,"Partial")</f>
        <v>0</v>
      </c>
      <c r="F21" s="12">
        <f>COUNTIF('Detect Assessment'!$F$5:$F$89,"Not Implemented")</f>
        <v>3</v>
      </c>
      <c r="G21" s="12">
        <f>COUNTIF('Detect Assessment'!$F$5:$F$89,"N/A")</f>
        <v>43</v>
      </c>
      <c r="H21" s="12">
        <f>COUNTIF('Detect Assessment'!$F$5:$F$89,"??")</f>
        <v>1</v>
      </c>
      <c r="I21" s="12">
        <f t="shared" si="2"/>
        <v>3</v>
      </c>
      <c r="J21" s="18">
        <f t="shared" si="3"/>
        <v>0.75</v>
      </c>
      <c r="K21" s="18">
        <f t="shared" si="4"/>
        <v>0</v>
      </c>
    </row>
    <row r="22" spans="1:11" ht="32" x14ac:dyDescent="0.2">
      <c r="A22" s="13" t="s">
        <v>603</v>
      </c>
      <c r="B22" s="13" t="s">
        <v>604</v>
      </c>
      <c r="C22" s="12">
        <f t="shared" si="1"/>
        <v>7</v>
      </c>
      <c r="D22" s="12">
        <f>COUNTIF('Detect Assessment'!$G$5:$G$89,"Implemented")</f>
        <v>4</v>
      </c>
      <c r="E22" s="12">
        <f>COUNTIF('Detect Assessment'!$G$5:$G$89,"Partial")</f>
        <v>1</v>
      </c>
      <c r="F22" s="12">
        <f>COUNTIF('Detect Assessment'!$G$5:$G$89,"Not Implemented")</f>
        <v>2</v>
      </c>
      <c r="G22" s="12">
        <f>COUNTIF('Detect Assessment'!$G$5:$G$89,"N/A")</f>
        <v>40</v>
      </c>
      <c r="H22" s="12">
        <f>COUNTIF('Detect Assessment'!$G$5:$G$89,"??")</f>
        <v>0</v>
      </c>
      <c r="I22" s="12">
        <f t="shared" si="2"/>
        <v>3</v>
      </c>
      <c r="J22" s="18">
        <f t="shared" si="3"/>
        <v>1</v>
      </c>
      <c r="K22" s="18">
        <f t="shared" si="4"/>
        <v>0.6428571428571429</v>
      </c>
    </row>
    <row r="23" spans="1:11" ht="32" x14ac:dyDescent="0.2">
      <c r="A23" s="13" t="s">
        <v>605</v>
      </c>
      <c r="B23" s="13" t="s">
        <v>606</v>
      </c>
      <c r="C23" s="12">
        <f t="shared" si="1"/>
        <v>36</v>
      </c>
      <c r="D23" s="12">
        <f>COUNTIF('Detect Assessment'!$H$5:$H$89,"Implemented")</f>
        <v>8</v>
      </c>
      <c r="E23" s="12">
        <f>COUNTIF('Detect Assessment'!$H$5:$H$89,"Partial")</f>
        <v>14</v>
      </c>
      <c r="F23" s="12">
        <f>COUNTIF('Detect Assessment'!$H$5:$H$89,"Not Implemented")</f>
        <v>14</v>
      </c>
      <c r="G23" s="12">
        <f>COUNTIF('Detect Assessment'!$H$5:$H$89,"N/A")</f>
        <v>11</v>
      </c>
      <c r="H23" s="12">
        <f>COUNTIF('Detect Assessment'!$H$5:$H$89,"??")</f>
        <v>0</v>
      </c>
      <c r="I23" s="12">
        <f t="shared" si="2"/>
        <v>28</v>
      </c>
      <c r="J23" s="18">
        <f t="shared" si="3"/>
        <v>1</v>
      </c>
      <c r="K23" s="18">
        <f t="shared" si="4"/>
        <v>0.41666666666666669</v>
      </c>
    </row>
    <row r="24" spans="1:11" ht="32" x14ac:dyDescent="0.2">
      <c r="A24" s="13" t="s">
        <v>607</v>
      </c>
      <c r="B24" s="13" t="s">
        <v>608</v>
      </c>
      <c r="C24" s="12">
        <f t="shared" si="1"/>
        <v>11</v>
      </c>
      <c r="D24" s="12">
        <f>COUNTIF('Detect Assessment'!$I$5:$I$89,"Implemented")</f>
        <v>6</v>
      </c>
      <c r="E24" s="12">
        <f>COUNTIF('Detect Assessment'!$I$5:$I$89,"Partial")</f>
        <v>3</v>
      </c>
      <c r="F24" s="12">
        <f>COUNTIF('Detect Assessment'!$I$5:$I$89,"Not Implemented")</f>
        <v>2</v>
      </c>
      <c r="G24" s="12">
        <f>COUNTIF('Detect Assessment'!$I$5:$I$89,"N/A")</f>
        <v>36</v>
      </c>
      <c r="H24" s="12">
        <f>COUNTIF('Detect Assessment'!$I$5:$I$89,"??")</f>
        <v>0</v>
      </c>
      <c r="I24" s="12">
        <f t="shared" si="2"/>
        <v>5</v>
      </c>
      <c r="J24" s="18">
        <f t="shared" si="3"/>
        <v>1</v>
      </c>
      <c r="K24" s="18">
        <f t="shared" si="4"/>
        <v>0.68181818181818177</v>
      </c>
    </row>
    <row r="25" spans="1:11" ht="48" x14ac:dyDescent="0.2">
      <c r="A25" s="13" t="s">
        <v>609</v>
      </c>
      <c r="B25" s="13" t="s">
        <v>610</v>
      </c>
      <c r="C25" s="12">
        <f t="shared" si="1"/>
        <v>12</v>
      </c>
      <c r="D25" s="12">
        <f>COUNTIF('Detect Assessment'!$J$5:$J$89,"Implemented")</f>
        <v>3</v>
      </c>
      <c r="E25" s="12">
        <f>COUNTIF('Detect Assessment'!$J$5:$J$89,"Partial")</f>
        <v>3</v>
      </c>
      <c r="F25" s="12">
        <f>COUNTIF('Detect Assessment'!$J$5:$J$89,"Not Implemented")</f>
        <v>5</v>
      </c>
      <c r="G25" s="12">
        <f>COUNTIF('Detect Assessment'!$J$5:$J$89,"N/A")</f>
        <v>35</v>
      </c>
      <c r="H25" s="12">
        <f>COUNTIF('Detect Assessment'!$J$5:$J$89,"??")</f>
        <v>1</v>
      </c>
      <c r="I25" s="12">
        <f t="shared" si="2"/>
        <v>8</v>
      </c>
      <c r="J25" s="18">
        <f t="shared" si="3"/>
        <v>0.91666666666666663</v>
      </c>
      <c r="K25" s="18">
        <f t="shared" si="4"/>
        <v>0.40909090909090912</v>
      </c>
    </row>
    <row r="28" spans="1:11" x14ac:dyDescent="0.2">
      <c r="A28" s="17" t="s">
        <v>623</v>
      </c>
    </row>
    <row r="29" spans="1:11" ht="48" x14ac:dyDescent="0.2">
      <c r="A29" s="10" t="s">
        <v>6</v>
      </c>
      <c r="B29" s="10" t="s">
        <v>570</v>
      </c>
      <c r="C29" s="10" t="s">
        <v>624</v>
      </c>
      <c r="D29" s="10" t="s">
        <v>625</v>
      </c>
      <c r="E29" s="10" t="s">
        <v>626</v>
      </c>
      <c r="F29" s="10" t="s">
        <v>627</v>
      </c>
      <c r="G29" s="10" t="s">
        <v>628</v>
      </c>
    </row>
    <row r="30" spans="1:11" ht="16" x14ac:dyDescent="0.2">
      <c r="A30" s="13" t="s">
        <v>256</v>
      </c>
      <c r="B30" s="13" t="s">
        <v>629</v>
      </c>
      <c r="C30" s="12">
        <f>COUNTIF('Protect Assessment'!$E$5:$E$89,"Critical")</f>
        <v>19</v>
      </c>
      <c r="D30" s="12">
        <f>COUNTIFS('Protect Assessment'!$E$5:$E$89,"Critical",'Protect Assessment'!$P$5:$P$89,0)</f>
        <v>19</v>
      </c>
      <c r="E30" s="12">
        <f>COUNTIFS('Protect Assessment'!$E$5:$E$89,"Critical",'Protect Assessment'!$Q$5:$Q$89,"&gt;0")</f>
        <v>18</v>
      </c>
      <c r="F30" s="12">
        <f>SUMIF('Protect Assessment'!$E$5:$E$89,"Critical",'Protect Assessment'!$P$5:$P$89)</f>
        <v>0</v>
      </c>
      <c r="G30" s="18">
        <f t="shared" ref="G30:G37" si="5">IF(C30=0,"-",D30/C30)</f>
        <v>1</v>
      </c>
    </row>
    <row r="31" spans="1:11" ht="16" x14ac:dyDescent="0.2">
      <c r="A31" s="13" t="s">
        <v>256</v>
      </c>
      <c r="B31" s="13" t="s">
        <v>630</v>
      </c>
      <c r="C31" s="12">
        <f>COUNTIF('Detect Assessment'!$E$5:$E$89,"Critical")</f>
        <v>19</v>
      </c>
      <c r="D31" s="12">
        <f>COUNTIFS('Detect Assessment'!$E$5:$E$89,"Critical",'Detect Assessment'!$M$5:$M$89,0)</f>
        <v>18</v>
      </c>
      <c r="E31" s="12">
        <f>COUNTIFS('Detect Assessment'!$E$5:$E$89,"Critical",'Detect Assessment'!$N$5:$N$89,"&gt;0")</f>
        <v>11</v>
      </c>
      <c r="F31" s="12">
        <f>SUMIF('Detect Assessment'!$E$5:$E$89,"Critical",'Detect Assessment'!$M$5:$M$89)</f>
        <v>1</v>
      </c>
      <c r="G31" s="18">
        <f t="shared" si="5"/>
        <v>0.94736842105263153</v>
      </c>
    </row>
    <row r="32" spans="1:11" ht="16" x14ac:dyDescent="0.2">
      <c r="A32" s="13" t="s">
        <v>255</v>
      </c>
      <c r="B32" s="13" t="s">
        <v>629</v>
      </c>
      <c r="C32" s="12">
        <f>COUNTIF('Protect Assessment'!$E$5:$E$89,"High")</f>
        <v>13</v>
      </c>
      <c r="D32" s="12">
        <f>COUNTIFS('Protect Assessment'!$E$5:$E$89,"High",'Protect Assessment'!$P$5:$P$89,0)</f>
        <v>13</v>
      </c>
      <c r="E32" s="12">
        <f>COUNTIFS('Protect Assessment'!$E$5:$E$89,"High",'Protect Assessment'!$Q$5:$Q$89,"&gt;0")</f>
        <v>9</v>
      </c>
      <c r="F32" s="12">
        <f>SUMIF('Protect Assessment'!$E$5:$E$89,"High",'Protect Assessment'!$P$5:$P$89)</f>
        <v>0</v>
      </c>
      <c r="G32" s="18">
        <f t="shared" si="5"/>
        <v>1</v>
      </c>
    </row>
    <row r="33" spans="1:7" ht="16" x14ac:dyDescent="0.2">
      <c r="A33" s="13" t="s">
        <v>255</v>
      </c>
      <c r="B33" s="13" t="s">
        <v>630</v>
      </c>
      <c r="C33" s="12">
        <f>COUNTIF('Detect Assessment'!$E$5:$E$89,"High")</f>
        <v>13</v>
      </c>
      <c r="D33" s="12">
        <f>COUNTIFS('Detect Assessment'!$E$5:$E$89,"High",'Detect Assessment'!$M$5:$M$89,0)</f>
        <v>12</v>
      </c>
      <c r="E33" s="12">
        <f>COUNTIFS('Detect Assessment'!$E$5:$E$89,"High",'Detect Assessment'!$N$5:$N$89,"&gt;0")</f>
        <v>8</v>
      </c>
      <c r="F33" s="12">
        <f>SUMIF('Detect Assessment'!$E$5:$E$89,"High",'Detect Assessment'!$M$5:$M$89)</f>
        <v>1</v>
      </c>
      <c r="G33" s="18">
        <f t="shared" si="5"/>
        <v>0.92307692307692313</v>
      </c>
    </row>
    <row r="34" spans="1:7" ht="16" x14ac:dyDescent="0.2">
      <c r="A34" s="13" t="s">
        <v>265</v>
      </c>
      <c r="B34" s="13" t="s">
        <v>629</v>
      </c>
      <c r="C34" s="12">
        <f>COUNTIF('Protect Assessment'!$E$5:$E$89,"Medium")</f>
        <v>10</v>
      </c>
      <c r="D34" s="12">
        <f>COUNTIFS('Protect Assessment'!$E$5:$E$89,"Medium",'Protect Assessment'!$P$5:$P$89,0)</f>
        <v>10</v>
      </c>
      <c r="E34" s="12">
        <f>COUNTIFS('Protect Assessment'!$E$5:$E$89,"Medium",'Protect Assessment'!$Q$5:$Q$89,"&gt;0")</f>
        <v>10</v>
      </c>
      <c r="F34" s="12">
        <f>SUMIF('Protect Assessment'!$E$5:$E$89,"Medium",'Protect Assessment'!$P$5:$P$89)</f>
        <v>0</v>
      </c>
      <c r="G34" s="18">
        <f t="shared" si="5"/>
        <v>1</v>
      </c>
    </row>
    <row r="35" spans="1:7" ht="16" x14ac:dyDescent="0.2">
      <c r="A35" s="13" t="s">
        <v>265</v>
      </c>
      <c r="B35" s="13" t="s">
        <v>630</v>
      </c>
      <c r="C35" s="12">
        <f>COUNTIF('Detect Assessment'!$E$5:$E$89,"Medium")</f>
        <v>10</v>
      </c>
      <c r="D35" s="12">
        <f>COUNTIFS('Detect Assessment'!$E$5:$E$89,"Medium",'Detect Assessment'!$M$5:$M$89,0)</f>
        <v>10</v>
      </c>
      <c r="E35" s="12">
        <f>COUNTIFS('Detect Assessment'!$E$5:$E$89,"Medium",'Detect Assessment'!$N$5:$N$89,"&gt;0")</f>
        <v>10</v>
      </c>
      <c r="F35" s="12">
        <f>SUMIF('Detect Assessment'!$E$5:$E$89,"Medium",'Detect Assessment'!$M$5:$M$89)</f>
        <v>0</v>
      </c>
      <c r="G35" s="18">
        <f t="shared" si="5"/>
        <v>1</v>
      </c>
    </row>
    <row r="36" spans="1:7" ht="16" x14ac:dyDescent="0.2">
      <c r="A36" s="13" t="s">
        <v>274</v>
      </c>
      <c r="B36" s="13" t="s">
        <v>629</v>
      </c>
      <c r="C36" s="12">
        <f>COUNTIF('Protect Assessment'!$E$5:$E$89,"Low")</f>
        <v>5</v>
      </c>
      <c r="D36" s="12">
        <f>COUNTIFS('Protect Assessment'!$E$5:$E$89,"Low",'Protect Assessment'!$P$5:$P$89,0)</f>
        <v>5</v>
      </c>
      <c r="E36" s="12">
        <f>COUNTIFS('Protect Assessment'!$E$5:$E$89,"Low",'Protect Assessment'!$Q$5:$Q$89,"&gt;0")</f>
        <v>4</v>
      </c>
      <c r="F36" s="12">
        <f>SUMIF('Protect Assessment'!$E$5:$E$89,"Low",'Protect Assessment'!$P$5:$P$89)</f>
        <v>0</v>
      </c>
      <c r="G36" s="18">
        <f t="shared" si="5"/>
        <v>1</v>
      </c>
    </row>
    <row r="37" spans="1:7" ht="16" x14ac:dyDescent="0.2">
      <c r="A37" s="13" t="s">
        <v>274</v>
      </c>
      <c r="B37" s="13" t="s">
        <v>630</v>
      </c>
      <c r="C37" s="12">
        <f>COUNTIF('Detect Assessment'!$E$5:$E$89,"Low")</f>
        <v>5</v>
      </c>
      <c r="D37" s="12">
        <f>COUNTIFS('Detect Assessment'!$E$5:$E$89,"Low",'Detect Assessment'!$M$5:$M$89,0)</f>
        <v>5</v>
      </c>
      <c r="E37" s="12">
        <f>COUNTIFS('Detect Assessment'!$E$5:$E$89,"Low",'Detect Assessment'!$N$5:$N$89,"&gt;0")</f>
        <v>5</v>
      </c>
      <c r="F37" s="12">
        <f>SUMIF('Detect Assessment'!$E$5:$E$89,"Low",'Detect Assessment'!$M$5:$M$89)</f>
        <v>0</v>
      </c>
      <c r="G37" s="18">
        <f t="shared" si="5"/>
        <v>1</v>
      </c>
    </row>
    <row r="38" spans="1:7" x14ac:dyDescent="0.2">
      <c r="A38" s="9" t="s">
        <v>631</v>
      </c>
    </row>
    <row r="41" spans="1:7" x14ac:dyDescent="0.2">
      <c r="A41" s="17" t="s">
        <v>632</v>
      </c>
    </row>
    <row r="42" spans="1:7" ht="16" x14ac:dyDescent="0.2">
      <c r="A42" s="10" t="s">
        <v>242</v>
      </c>
      <c r="B42" s="10"/>
      <c r="C42" s="10" t="s">
        <v>633</v>
      </c>
      <c r="D42" s="10" t="s">
        <v>256</v>
      </c>
      <c r="E42" s="10" t="s">
        <v>255</v>
      </c>
      <c r="F42" s="10" t="s">
        <v>265</v>
      </c>
      <c r="G42" s="10" t="s">
        <v>274</v>
      </c>
    </row>
    <row r="43" spans="1:7" ht="16" x14ac:dyDescent="0.2">
      <c r="A43" s="13" t="s">
        <v>251</v>
      </c>
      <c r="B43" s="13"/>
      <c r="C43" s="12">
        <f>COUNTIF('Asset Register'!$C$5:$C$104,"Hardware")</f>
        <v>5</v>
      </c>
      <c r="D43" s="12">
        <f>COUNTIFS('Asset Register'!$C$5:$C$104,"Hardware",'Asset Register'!$J$5:$J$104,"Critical")</f>
        <v>3</v>
      </c>
      <c r="E43" s="12">
        <f>COUNTIFS('Asset Register'!$C$5:$C$104,"Hardware",'Asset Register'!$J$5:$J$104,"High")</f>
        <v>1</v>
      </c>
      <c r="F43" s="12">
        <f>COUNTIFS('Asset Register'!$C$5:$C$104,"Hardware",'Asset Register'!$J$5:$J$104,"Medium")</f>
        <v>1</v>
      </c>
      <c r="G43" s="12">
        <f>COUNTIFS('Asset Register'!$C$5:$C$104,"Hardware",'Asset Register'!$J$5:$J$104,"Low")</f>
        <v>0</v>
      </c>
    </row>
    <row r="44" spans="1:7" ht="16" x14ac:dyDescent="0.2">
      <c r="A44" s="13" t="s">
        <v>277</v>
      </c>
      <c r="B44" s="13"/>
      <c r="C44" s="12">
        <f>COUNTIF('Asset Register'!$C$5:$C$104,"Account")</f>
        <v>40</v>
      </c>
      <c r="D44" s="12">
        <f>COUNTIFS('Asset Register'!$C$5:$C$104,"Account",'Asset Register'!$J$5:$J$104,"Critical")</f>
        <v>11</v>
      </c>
      <c r="E44" s="12">
        <f>COUNTIFS('Asset Register'!$C$5:$C$104,"Account",'Asset Register'!$J$5:$J$104,"High")</f>
        <v>12</v>
      </c>
      <c r="F44" s="12">
        <f>COUNTIFS('Asset Register'!$C$5:$C$104,"Account",'Asset Register'!$J$5:$J$104,"Medium")</f>
        <v>10</v>
      </c>
      <c r="G44" s="12">
        <f>COUNTIFS('Asset Register'!$C$5:$C$104,"Account",'Asset Register'!$J$5:$J$104,"Low")</f>
        <v>7</v>
      </c>
    </row>
    <row r="45" spans="1:7" ht="16" x14ac:dyDescent="0.2">
      <c r="A45" s="13" t="s">
        <v>406</v>
      </c>
      <c r="B45" s="13"/>
      <c r="C45" s="12">
        <f>COUNTIF('Asset Register'!$C$5:$C$104,"Data")</f>
        <v>17</v>
      </c>
      <c r="D45" s="12">
        <f>COUNTIFS('Asset Register'!$C$5:$C$104,"Data",'Asset Register'!$J$5:$J$104,"Critical")</f>
        <v>7</v>
      </c>
      <c r="E45" s="12">
        <f>COUNTIFS('Asset Register'!$C$5:$C$104,"Data",'Asset Register'!$J$5:$J$104,"High")</f>
        <v>5</v>
      </c>
      <c r="F45" s="12">
        <f>COUNTIFS('Asset Register'!$C$5:$C$104,"Data",'Asset Register'!$J$5:$J$104,"Medium")</f>
        <v>4</v>
      </c>
      <c r="G45" s="12">
        <f>COUNTIFS('Asset Register'!$C$5:$C$104,"Data",'Asset Register'!$J$5:$J$104,"Low")</f>
        <v>1</v>
      </c>
    </row>
    <row r="46" spans="1:7" ht="16" x14ac:dyDescent="0.2">
      <c r="A46" s="19" t="s">
        <v>582</v>
      </c>
      <c r="B46" s="19"/>
      <c r="C46" s="20">
        <f>SUM(C43:C45)</f>
        <v>62</v>
      </c>
      <c r="D46" s="20">
        <f>SUM(D43:D45)</f>
        <v>21</v>
      </c>
      <c r="E46" s="20">
        <f>SUM(E43:E45)</f>
        <v>18</v>
      </c>
      <c r="F46" s="20">
        <f>SUM(F43:F45)</f>
        <v>15</v>
      </c>
      <c r="G46" s="20">
        <f>SUM(G43:G45)</f>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2"/>
  <sheetViews>
    <sheetView workbookViewId="0"/>
  </sheetViews>
  <sheetFormatPr baseColWidth="10" defaultColWidth="8.83203125" defaultRowHeight="15" x14ac:dyDescent="0.2"/>
  <cols>
    <col min="1" max="1" width="18" customWidth="1"/>
    <col min="2" max="2" width="100" customWidth="1"/>
  </cols>
  <sheetData>
    <row r="1" spans="1:2" ht="19" x14ac:dyDescent="0.25">
      <c r="A1" s="8" t="s">
        <v>634</v>
      </c>
    </row>
    <row r="2" spans="1:2" x14ac:dyDescent="0.2">
      <c r="A2" s="9" t="s">
        <v>635</v>
      </c>
    </row>
    <row r="4" spans="1:2" x14ac:dyDescent="0.2">
      <c r="A4" s="17" t="s">
        <v>636</v>
      </c>
    </row>
    <row r="5" spans="1:2" ht="16" x14ac:dyDescent="0.2">
      <c r="A5" s="22" t="s">
        <v>572</v>
      </c>
      <c r="B5" s="23" t="s">
        <v>637</v>
      </c>
    </row>
    <row r="6" spans="1:2" ht="16" x14ac:dyDescent="0.2">
      <c r="A6" s="24" t="s">
        <v>55</v>
      </c>
      <c r="B6" s="23" t="s">
        <v>638</v>
      </c>
    </row>
    <row r="7" spans="1:2" ht="16" x14ac:dyDescent="0.2">
      <c r="A7" s="25" t="s">
        <v>573</v>
      </c>
      <c r="B7" s="23" t="s">
        <v>639</v>
      </c>
    </row>
    <row r="8" spans="1:2" ht="32" x14ac:dyDescent="0.2">
      <c r="A8" s="26" t="s">
        <v>29</v>
      </c>
      <c r="B8" s="23" t="s">
        <v>640</v>
      </c>
    </row>
    <row r="9" spans="1:2" ht="16" x14ac:dyDescent="0.2">
      <c r="A9" s="27" t="s">
        <v>30</v>
      </c>
      <c r="B9" s="23" t="s">
        <v>641</v>
      </c>
    </row>
    <row r="11" spans="1:2" x14ac:dyDescent="0.2">
      <c r="A11" s="17" t="s">
        <v>642</v>
      </c>
    </row>
    <row r="12" spans="1:2" ht="32" x14ac:dyDescent="0.2">
      <c r="A12" t="s">
        <v>15</v>
      </c>
      <c r="B12" s="23" t="s">
        <v>643</v>
      </c>
    </row>
    <row r="13" spans="1:2" ht="16" x14ac:dyDescent="0.2">
      <c r="A13" t="s">
        <v>644</v>
      </c>
      <c r="B13" s="23" t="s">
        <v>645</v>
      </c>
    </row>
    <row r="14" spans="1:2" ht="16" x14ac:dyDescent="0.2">
      <c r="A14" t="s">
        <v>18</v>
      </c>
      <c r="B14" s="23" t="s">
        <v>646</v>
      </c>
    </row>
    <row r="15" spans="1:2" ht="16" x14ac:dyDescent="0.2">
      <c r="A15" t="s">
        <v>647</v>
      </c>
      <c r="B15" s="23" t="s">
        <v>648</v>
      </c>
    </row>
    <row r="17" spans="1:2" x14ac:dyDescent="0.2">
      <c r="A17" s="17" t="s">
        <v>649</v>
      </c>
    </row>
    <row r="18" spans="1:2" ht="48" x14ac:dyDescent="0.2">
      <c r="A18" t="s">
        <v>650</v>
      </c>
      <c r="B18" s="23" t="s">
        <v>651</v>
      </c>
    </row>
    <row r="19" spans="1:2" ht="48" x14ac:dyDescent="0.2">
      <c r="A19" t="s">
        <v>652</v>
      </c>
      <c r="B19" s="23" t="s">
        <v>653</v>
      </c>
    </row>
    <row r="20" spans="1:2" ht="48" x14ac:dyDescent="0.2">
      <c r="A20" t="s">
        <v>654</v>
      </c>
      <c r="B20" s="23" t="s">
        <v>655</v>
      </c>
    </row>
    <row r="21" spans="1:2" ht="48" x14ac:dyDescent="0.2">
      <c r="A21" t="s">
        <v>656</v>
      </c>
      <c r="B21" s="23" t="s">
        <v>657</v>
      </c>
    </row>
    <row r="22" spans="1:2" ht="48" x14ac:dyDescent="0.2">
      <c r="A22" t="s">
        <v>658</v>
      </c>
      <c r="B22" s="23" t="s">
        <v>659</v>
      </c>
    </row>
    <row r="23" spans="1:2" ht="48" x14ac:dyDescent="0.2">
      <c r="A23" t="s">
        <v>660</v>
      </c>
      <c r="B23" s="23" t="s">
        <v>661</v>
      </c>
    </row>
    <row r="24" spans="1:2" ht="48" x14ac:dyDescent="0.2">
      <c r="A24" t="s">
        <v>662</v>
      </c>
      <c r="B24" s="23" t="s">
        <v>663</v>
      </c>
    </row>
    <row r="25" spans="1:2" ht="48" x14ac:dyDescent="0.2">
      <c r="A25" t="s">
        <v>664</v>
      </c>
      <c r="B25" s="23" t="s">
        <v>665</v>
      </c>
    </row>
    <row r="26" spans="1:2" ht="48" x14ac:dyDescent="0.2">
      <c r="A26" t="s">
        <v>666</v>
      </c>
      <c r="B26" s="23" t="s">
        <v>667</v>
      </c>
    </row>
    <row r="27" spans="1:2" ht="48" x14ac:dyDescent="0.2">
      <c r="A27" t="s">
        <v>668</v>
      </c>
      <c r="B27" s="23" t="s">
        <v>669</v>
      </c>
    </row>
    <row r="28" spans="1:2" ht="48" x14ac:dyDescent="0.2">
      <c r="A28" t="s">
        <v>670</v>
      </c>
      <c r="B28" s="23" t="s">
        <v>671</v>
      </c>
    </row>
    <row r="29" spans="1:2" ht="48" x14ac:dyDescent="0.2">
      <c r="A29" t="s">
        <v>672</v>
      </c>
      <c r="B29" s="23" t="s">
        <v>673</v>
      </c>
    </row>
    <row r="30" spans="1:2" ht="48" x14ac:dyDescent="0.2">
      <c r="A30" t="s">
        <v>674</v>
      </c>
      <c r="B30" s="23" t="s">
        <v>675</v>
      </c>
    </row>
    <row r="31" spans="1:2" x14ac:dyDescent="0.2">
      <c r="B31" s="9" t="s">
        <v>676</v>
      </c>
    </row>
    <row r="33" spans="1:2" x14ac:dyDescent="0.2">
      <c r="A33" s="17" t="s">
        <v>677</v>
      </c>
    </row>
    <row r="34" spans="1:2" ht="16" x14ac:dyDescent="0.2">
      <c r="A34" t="s">
        <v>585</v>
      </c>
      <c r="B34" s="23" t="s">
        <v>586</v>
      </c>
    </row>
    <row r="35" spans="1:2" ht="16" x14ac:dyDescent="0.2">
      <c r="A35" t="s">
        <v>587</v>
      </c>
      <c r="B35" s="23" t="s">
        <v>588</v>
      </c>
    </row>
    <row r="36" spans="1:2" ht="32" x14ac:dyDescent="0.2">
      <c r="A36" t="s">
        <v>589</v>
      </c>
      <c r="B36" s="23" t="s">
        <v>590</v>
      </c>
    </row>
    <row r="37" spans="1:2" ht="16" x14ac:dyDescent="0.2">
      <c r="A37" t="s">
        <v>591</v>
      </c>
      <c r="B37" s="23" t="s">
        <v>592</v>
      </c>
    </row>
    <row r="38" spans="1:2" ht="16" x14ac:dyDescent="0.2">
      <c r="A38" t="s">
        <v>593</v>
      </c>
      <c r="B38" s="23" t="s">
        <v>594</v>
      </c>
    </row>
    <row r="39" spans="1:2" ht="16" x14ac:dyDescent="0.2">
      <c r="A39" t="s">
        <v>595</v>
      </c>
      <c r="B39" s="23" t="s">
        <v>596</v>
      </c>
    </row>
    <row r="40" spans="1:2" ht="16" x14ac:dyDescent="0.2">
      <c r="A40" t="s">
        <v>597</v>
      </c>
      <c r="B40" s="23" t="s">
        <v>598</v>
      </c>
    </row>
    <row r="41" spans="1:2" ht="16" x14ac:dyDescent="0.2">
      <c r="A41" t="s">
        <v>599</v>
      </c>
      <c r="B41" s="23" t="s">
        <v>600</v>
      </c>
    </row>
    <row r="42" spans="1:2" ht="16" x14ac:dyDescent="0.2">
      <c r="A42" t="s">
        <v>601</v>
      </c>
      <c r="B42" s="23" t="s">
        <v>602</v>
      </c>
    </row>
    <row r="43" spans="1:2" ht="16" x14ac:dyDescent="0.2">
      <c r="A43" t="s">
        <v>603</v>
      </c>
      <c r="B43" s="23" t="s">
        <v>604</v>
      </c>
    </row>
    <row r="44" spans="1:2" ht="16" x14ac:dyDescent="0.2">
      <c r="A44" t="s">
        <v>605</v>
      </c>
      <c r="B44" s="23" t="s">
        <v>606</v>
      </c>
    </row>
    <row r="45" spans="1:2" ht="16" x14ac:dyDescent="0.2">
      <c r="A45" t="s">
        <v>607</v>
      </c>
      <c r="B45" s="23" t="s">
        <v>608</v>
      </c>
    </row>
    <row r="46" spans="1:2" ht="32" x14ac:dyDescent="0.2">
      <c r="A46" t="s">
        <v>609</v>
      </c>
      <c r="B46" s="23" t="s">
        <v>610</v>
      </c>
    </row>
    <row r="47" spans="1:2" ht="16" x14ac:dyDescent="0.2">
      <c r="A47" t="s">
        <v>611</v>
      </c>
      <c r="B47" s="23" t="s">
        <v>612</v>
      </c>
    </row>
    <row r="48" spans="1:2" ht="16" x14ac:dyDescent="0.2">
      <c r="A48" t="s">
        <v>613</v>
      </c>
      <c r="B48" s="23" t="s">
        <v>614</v>
      </c>
    </row>
    <row r="49" spans="1:2" ht="16" x14ac:dyDescent="0.2">
      <c r="A49" t="s">
        <v>615</v>
      </c>
      <c r="B49" s="23" t="s">
        <v>616</v>
      </c>
    </row>
    <row r="50" spans="1:2" ht="16" x14ac:dyDescent="0.2">
      <c r="A50" t="s">
        <v>617</v>
      </c>
      <c r="B50" s="23" t="s">
        <v>618</v>
      </c>
    </row>
    <row r="51" spans="1:2" ht="16" x14ac:dyDescent="0.2">
      <c r="A51" t="s">
        <v>619</v>
      </c>
      <c r="B51" s="23" t="s">
        <v>620</v>
      </c>
    </row>
    <row r="52" spans="1:2" ht="16" x14ac:dyDescent="0.2">
      <c r="A52" t="s">
        <v>621</v>
      </c>
      <c r="B52" s="23" t="s">
        <v>622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Asset Register</vt:lpstr>
      <vt:lpstr>Protect Assessment</vt:lpstr>
      <vt:lpstr>Detect Assessment</vt:lpstr>
      <vt:lpstr>Gap Summary</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Haruto Oguro</cp:lastModifiedBy>
  <dcterms:created xsi:type="dcterms:W3CDTF">2026-09-30T17:38:23Z</dcterms:created>
  <dcterms:modified xsi:type="dcterms:W3CDTF">2026-10-02T21:50:08Z</dcterms:modified>
</cp:coreProperties>
</file>